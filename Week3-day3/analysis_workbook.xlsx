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a2e2e2660ea366/Desktop/cynaris-internship-kumuda/Week3-day3/"/>
    </mc:Choice>
  </mc:AlternateContent>
  <xr:revisionPtr revIDLastSave="0" documentId="8_{C9BDC1A2-C3E6-4E2E-A43D-448033301F53}" xr6:coauthVersionLast="47" xr6:coauthVersionMax="47" xr10:uidLastSave="{00000000-0000-0000-0000-000000000000}"/>
  <bookViews>
    <workbookView xWindow="-110" yWindow="-110" windowWidth="19420" windowHeight="10300" xr2:uid="{73CD02A8-46D1-4275-9DAD-70F9944C43C7}"/>
  </bookViews>
  <sheets>
    <sheet name="Raw Data" sheetId="5" r:id="rId1"/>
    <sheet name="Pivot Analysis" sheetId="6" r:id="rId2"/>
    <sheet name="KPI Dashboard" sheetId="7" r:id="rId3"/>
  </sheets>
  <definedNames>
    <definedName name="ExternalData_2" localSheetId="0" hidden="1">'Raw Data'!$A$1:$K$41</definedName>
  </definedName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7" l="1"/>
  <c r="B15" i="7"/>
  <c r="H6" i="7"/>
  <c r="H7" i="7"/>
  <c r="H8" i="7"/>
  <c r="H9" i="7"/>
  <c r="C4" i="7"/>
  <c r="C9" i="7"/>
  <c r="C8" i="7"/>
  <c r="C5" i="7"/>
  <c r="C6" i="7"/>
  <c r="C7" i="7" s="1"/>
  <c r="L2" i="5"/>
  <c r="L3" i="5"/>
  <c r="M3" i="5" s="1"/>
  <c r="L4" i="5"/>
  <c r="M4" i="5" s="1"/>
  <c r="L5" i="5"/>
  <c r="M5" i="5" s="1"/>
  <c r="L6" i="5"/>
  <c r="M6" i="5" s="1"/>
  <c r="L7" i="5"/>
  <c r="L8" i="5"/>
  <c r="M8" i="5" s="1"/>
  <c r="L9" i="5"/>
  <c r="M9" i="5" s="1"/>
  <c r="L10" i="5"/>
  <c r="M10" i="5" s="1"/>
  <c r="L11" i="5"/>
  <c r="M11" i="5" s="1"/>
  <c r="L12" i="5"/>
  <c r="L13" i="5"/>
  <c r="M13" i="5" s="1"/>
  <c r="L14" i="5"/>
  <c r="M14" i="5" s="1"/>
  <c r="L15" i="5"/>
  <c r="M15" i="5" s="1"/>
  <c r="L16" i="5"/>
  <c r="M16" i="5" s="1"/>
  <c r="L17" i="5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C16" i="7" l="1"/>
  <c r="M7" i="5"/>
  <c r="I7" i="7"/>
  <c r="M12" i="5"/>
  <c r="I8" i="7"/>
  <c r="M17" i="5"/>
  <c r="I9" i="7"/>
  <c r="M2" i="5"/>
  <c r="I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DCD977-95E2-43AC-8D0D-F6E80F7D9DF1}" keepAlive="1" name="Query - Sales_Combined" description="Connection to the 'Sales_Combined' query in the workbook." type="5" refreshedVersion="8" background="1" saveData="1">
    <dbPr connection="Provider=Microsoft.Mashup.OleDb.1;Data Source=$Workbook$;Location=Sales_Combined;Extended Properties=&quot;&quot;" command="SELECT * FROM [Sales_Combined]"/>
  </connection>
  <connection id="2" xr16:uid="{7A10933F-B383-418C-B7CA-A9B85213F3F1}" keepAlive="1" name="Query - sales_q1" description="Connection to the 'sales_q1' query in the workbook." type="5" refreshedVersion="8" background="1" saveData="1">
    <dbPr connection="Provider=Microsoft.Mashup.OleDb.1;Data Source=$Workbook$;Location=sales_q1;Extended Properties=&quot;&quot;" command="SELECT * FROM [sales_q1]"/>
  </connection>
  <connection id="3" xr16:uid="{D0C18D9A-5572-4A33-85DA-2092362CDF1C}" keepAlive="1" name="Query - sales_q1 (2)" description="Connection to the 'sales_q1 (2)' query in the workbook." type="5" refreshedVersion="0" background="1" saveData="1">
    <dbPr connection="Provider=Microsoft.Mashup.OleDb.1;Data Source=$Workbook$;Location=&quot;sales_q1 (2)&quot;;Extended Properties=&quot;&quot;" command="SELECT * FROM [sales_q1 (2)]"/>
  </connection>
  <connection id="4" xr16:uid="{5FF8E93A-01FF-469E-8A3C-19BF70D3159A}" keepAlive="1" name="Query - sales_q2" description="Connection to the 'sales_q2' query in the workbook." type="5" refreshedVersion="8" background="1" saveData="1">
    <dbPr connection="Provider=Microsoft.Mashup.OleDb.1;Data Source=$Workbook$;Location=sales_q2;Extended Properties=&quot;&quot;" command="SELECT * FROM [sales_q2]"/>
  </connection>
</connections>
</file>

<file path=xl/sharedStrings.xml><?xml version="1.0" encoding="utf-8"?>
<sst xmlns="http://schemas.openxmlformats.org/spreadsheetml/2006/main" count="270" uniqueCount="47">
  <si>
    <t>OrderDate</t>
  </si>
  <si>
    <t>Region</t>
  </si>
  <si>
    <t>Product</t>
  </si>
  <si>
    <t>Quarter</t>
  </si>
  <si>
    <t>Units</t>
  </si>
  <si>
    <t>UnitPrice</t>
  </si>
  <si>
    <t>DiscountPct</t>
  </si>
  <si>
    <t>Revenue</t>
  </si>
  <si>
    <t>COGS</t>
  </si>
  <si>
    <t>CustomerSegment</t>
  </si>
  <si>
    <t>SourceFile</t>
  </si>
  <si>
    <t>South</t>
  </si>
  <si>
    <t>Laptop</t>
  </si>
  <si>
    <t>Q1</t>
  </si>
  <si>
    <t>SMB</t>
  </si>
  <si>
    <t>sales_q1.csv</t>
  </si>
  <si>
    <t>Monitor</t>
  </si>
  <si>
    <t>Enterprise</t>
  </si>
  <si>
    <t>Keyboard</t>
  </si>
  <si>
    <t>Retail</t>
  </si>
  <si>
    <t>Mouse</t>
  </si>
  <si>
    <t>Headphones</t>
  </si>
  <si>
    <t>North</t>
  </si>
  <si>
    <t>West</t>
  </si>
  <si>
    <t>East</t>
  </si>
  <si>
    <t>Q2</t>
  </si>
  <si>
    <t>sales_q2.csv</t>
  </si>
  <si>
    <t>Margin</t>
  </si>
  <si>
    <t>MarginPct</t>
  </si>
  <si>
    <t>REVENUE &amp; MARGIN SUMMARY</t>
  </si>
  <si>
    <t>Row Labels</t>
  </si>
  <si>
    <t>Grand Total</t>
  </si>
  <si>
    <t>Column Labels</t>
  </si>
  <si>
    <t>Total Sum of Margin</t>
  </si>
  <si>
    <t>Sum of Margin</t>
  </si>
  <si>
    <t>Total Sum of MarginPct</t>
  </si>
  <si>
    <t>Sum of MarginPct</t>
  </si>
  <si>
    <t>SALES KPI DASHBOARD</t>
  </si>
  <si>
    <t>Total Revenue</t>
  </si>
  <si>
    <t>Total COGS</t>
  </si>
  <si>
    <t>Total Margin</t>
  </si>
  <si>
    <t>Overall Margin %</t>
  </si>
  <si>
    <t>Units Sold</t>
  </si>
  <si>
    <t>Sales Records</t>
  </si>
  <si>
    <t>Revenue by Region</t>
  </si>
  <si>
    <t>Growth 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</si>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</sst>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%"/>
    <numFmt numFmtId="167" formatCode="0.000%"/>
    <numFmt numFmtId="169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3"/>
      <color theme="9" tint="-0.499984740745262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  <xf numFmtId="169" fontId="0" fillId="0" borderId="0" xfId="0" applyNumberFormat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1" xfId="0" applyFill="1" applyBorder="1" applyAlignment="1">
      <alignment horizontal="left"/>
    </xf>
    <xf numFmtId="169" fontId="0" fillId="0" borderId="1" xfId="0" applyNumberFormat="1" applyFill="1" applyBorder="1"/>
    <xf numFmtId="0" fontId="0" fillId="0" borderId="1" xfId="0" applyFill="1" applyBorder="1" applyAlignment="1">
      <alignment horizontal="left" indent="1"/>
    </xf>
    <xf numFmtId="0" fontId="0" fillId="0" borderId="6" xfId="0" applyFill="1" applyBorder="1"/>
    <xf numFmtId="166" fontId="0" fillId="0" borderId="1" xfId="1" applyNumberFormat="1" applyFont="1" applyFill="1" applyBorder="1"/>
    <xf numFmtId="10" fontId="0" fillId="0" borderId="1" xfId="0" applyNumberFormat="1" applyFill="1" applyBorder="1"/>
    <xf numFmtId="166" fontId="0" fillId="0" borderId="6" xfId="1" applyNumberFormat="1" applyFont="1" applyFill="1" applyBorder="1"/>
    <xf numFmtId="166" fontId="0" fillId="0" borderId="3" xfId="1" applyNumberFormat="1" applyFont="1" applyFill="1" applyBorder="1"/>
    <xf numFmtId="166" fontId="0" fillId="0" borderId="5" xfId="1" applyNumberFormat="1" applyFont="1" applyFill="1" applyBorder="1"/>
    <xf numFmtId="10" fontId="0" fillId="0" borderId="6" xfId="0" applyNumberFormat="1" applyFill="1" applyBorder="1"/>
    <xf numFmtId="10" fontId="0" fillId="0" borderId="3" xfId="0" applyNumberFormat="1" applyFill="1" applyBorder="1"/>
    <xf numFmtId="10" fontId="0" fillId="0" borderId="5" xfId="0" applyNumberFormat="1" applyFill="1" applyBorder="1"/>
    <xf numFmtId="10" fontId="0" fillId="0" borderId="7" xfId="0" applyNumberFormat="1" applyFill="1" applyBorder="1"/>
    <xf numFmtId="0" fontId="0" fillId="0" borderId="7" xfId="0" applyFill="1" applyBorder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4" fillId="3" borderId="0" xfId="0" applyFont="1" applyFill="1"/>
    <xf numFmtId="0" fontId="5" fillId="3" borderId="0" xfId="0" applyFont="1" applyFill="1"/>
    <xf numFmtId="169" fontId="2" fillId="0" borderId="0" xfId="0" applyNumberFormat="1" applyFont="1"/>
    <xf numFmtId="0" fontId="0" fillId="4" borderId="0" xfId="0" applyFill="1"/>
    <xf numFmtId="169" fontId="2" fillId="5" borderId="0" xfId="0" applyNumberFormat="1" applyFont="1" applyFill="1"/>
    <xf numFmtId="10" fontId="2" fillId="5" borderId="0" xfId="0" applyNumberFormat="1" applyFont="1" applyFill="1"/>
    <xf numFmtId="0" fontId="2" fillId="5" borderId="0" xfId="0" applyFont="1" applyFill="1"/>
    <xf numFmtId="0" fontId="6" fillId="0" borderId="0" xfId="0" applyFont="1"/>
    <xf numFmtId="0" fontId="7" fillId="6" borderId="0" xfId="0" applyFont="1" applyFill="1"/>
    <xf numFmtId="169" fontId="7" fillId="6" borderId="0" xfId="0" applyNumberFormat="1" applyFont="1" applyFill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numFmt numFmtId="14" formatCode="0.0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169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169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</a:t>
            </a:r>
            <a:r>
              <a:rPr lang="en-IN" b="1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 Dashboard'!$G$6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Dashboard'!$H$5</c:f>
              <c:strCache>
                <c:ptCount val="1"/>
                <c:pt idx="0">
                  <c:v> Revenue </c:v>
                </c:pt>
              </c:strCache>
            </c:strRef>
          </c:cat>
          <c:val>
            <c:numRef>
              <c:f>'KPI Dashboard'!$H$6</c:f>
              <c:numCache>
                <c:formatCode>_ [$₹-4009]\ * #,##0.00_ ;_ [$₹-4009]\ * \-#,##0.00_ ;_ [$₹-4009]\ * "-"??_ ;_ @_ </c:formatCode>
                <c:ptCount val="1"/>
                <c:pt idx="0">
                  <c:v>1284691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2-4F6C-9F31-61436E2B4666}"/>
            </c:ext>
          </c:extLst>
        </c:ser>
        <c:ser>
          <c:idx val="1"/>
          <c:order val="1"/>
          <c:tx>
            <c:strRef>
              <c:f>'KPI Dashboard'!$G$7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Dashboard'!$H$5</c:f>
              <c:strCache>
                <c:ptCount val="1"/>
                <c:pt idx="0">
                  <c:v> Revenue </c:v>
                </c:pt>
              </c:strCache>
            </c:strRef>
          </c:cat>
          <c:val>
            <c:numRef>
              <c:f>'KPI Dashboard'!$H$7</c:f>
              <c:numCache>
                <c:formatCode>_ [$₹-4009]\ * #,##0.00_ ;_ [$₹-4009]\ * \-#,##0.00_ ;_ [$₹-4009]\ * "-"??_ ;_ @_ </c:formatCode>
                <c:ptCount val="1"/>
                <c:pt idx="0">
                  <c:v>2309714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2-4F6C-9F31-61436E2B4666}"/>
            </c:ext>
          </c:extLst>
        </c:ser>
        <c:ser>
          <c:idx val="2"/>
          <c:order val="2"/>
          <c:tx>
            <c:strRef>
              <c:f>'KPI Dashboard'!$G$8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Dashboard'!$H$5</c:f>
              <c:strCache>
                <c:ptCount val="1"/>
                <c:pt idx="0">
                  <c:v> Revenue </c:v>
                </c:pt>
              </c:strCache>
            </c:strRef>
          </c:cat>
          <c:val>
            <c:numRef>
              <c:f>'KPI Dashboard'!$H$8</c:f>
              <c:numCache>
                <c:formatCode>_ [$₹-4009]\ * #,##0.00_ ;_ [$₹-4009]\ * \-#,##0.00_ ;_ [$₹-4009]\ * "-"??_ ;_ @_ </c:formatCode>
                <c:ptCount val="1"/>
                <c:pt idx="0">
                  <c:v>3340303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42-4F6C-9F31-61436E2B4666}"/>
            </c:ext>
          </c:extLst>
        </c:ser>
        <c:ser>
          <c:idx val="3"/>
          <c:order val="3"/>
          <c:tx>
            <c:strRef>
              <c:f>'KPI Dashboard'!$G$9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Dashboard'!$H$5</c:f>
              <c:strCache>
                <c:ptCount val="1"/>
                <c:pt idx="0">
                  <c:v> Revenue </c:v>
                </c:pt>
              </c:strCache>
            </c:strRef>
          </c:cat>
          <c:val>
            <c:numRef>
              <c:f>'KPI Dashboard'!$H$9</c:f>
              <c:numCache>
                <c:formatCode>_ [$₹-4009]\ * #,##0.00_ ;_ [$₹-4009]\ * \-#,##0.00_ ;_ [$₹-4009]\ * "-"??_ ;_ @_ </c:formatCode>
                <c:ptCount val="1"/>
                <c:pt idx="0">
                  <c:v>1188732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42-4F6C-9F31-61436E2B46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52275008"/>
        <c:axId val="379111855"/>
      </c:barChart>
      <c:catAx>
        <c:axId val="2052275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11855"/>
        <c:crosses val="autoZero"/>
        <c:auto val="1"/>
        <c:lblAlgn val="ctr"/>
        <c:lblOffset val="100"/>
        <c:noMultiLvlLbl val="0"/>
      </c:catAx>
      <c:valAx>
        <c:axId val="379111855"/>
        <c:scaling>
          <c:orientation val="minMax"/>
        </c:scaling>
        <c:delete val="1"/>
        <c:axPos val="b"/>
        <c:numFmt formatCode="_ [$₹-4009]\ * #,##0.00_ ;_ [$₹-4009]\ * \-#,##0.00_ ;_ [$₹-4009]\ * &quot;-&quot;??_ ;_ @_ " sourceLinked="1"/>
        <c:majorTickMark val="none"/>
        <c:minorTickMark val="none"/>
        <c:tickLblPos val="nextTo"/>
        <c:crossAx val="20522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'KPI Dashboard'!$B$14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 Dashboard'!$A$15:$A$16</c:f>
              <c:strCache>
                <c:ptCount val="2"/>
                <c:pt idx="0">
                  <c:v>Q1</c:v>
                </c:pt>
                <c:pt idx="1">
                  <c:v>Q2</c:v>
                </c:pt>
              </c:strCache>
            </c:strRef>
          </c:cat>
          <c:val>
            <c:numRef>
              <c:f>'KPI Dashboard'!$B$15:$B$16</c:f>
              <c:numCache>
                <c:formatCode>_ [$₹-4009]\ * #,##0.00_ ;_ [$₹-4009]\ * \-#,##0.00_ ;_ [$₹-4009]\ * "-"??_ ;_ @_ </c:formatCode>
                <c:ptCount val="2"/>
                <c:pt idx="0">
                  <c:v>3727794</c:v>
                </c:pt>
                <c:pt idx="1">
                  <c:v>4395646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A-4F96-A0D8-AAE4C43B8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093455"/>
        <c:axId val="379064815"/>
      </c:lineChart>
      <c:catAx>
        <c:axId val="3900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64815"/>
        <c:crosses val="autoZero"/>
        <c:auto val="1"/>
        <c:lblAlgn val="ctr"/>
        <c:lblOffset val="100"/>
        <c:noMultiLvlLbl val="0"/>
      </c:catAx>
      <c:valAx>
        <c:axId val="37906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09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13</xdr:row>
      <xdr:rowOff>6350</xdr:rowOff>
    </xdr:from>
    <xdr:to>
      <xdr:col>14</xdr:col>
      <xdr:colOff>158749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549BC-CF7B-E6DB-75A6-BD90E1276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5</xdr:col>
      <xdr:colOff>6350</xdr:colOff>
      <xdr:row>31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48507D-BD20-15BD-6FBA-548217EA3A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UDHA" refreshedDate="46323.66768958333" createdVersion="8" refreshedVersion="8" minRefreshableVersion="3" recordCount="40" xr:uid="{6C09D461-AFDD-476D-8C91-7A3F841FB1EA}">
  <cacheSource type="worksheet">
    <worksheetSource name="Sales_Combined"/>
  </cacheSource>
  <cacheFields count="13">
    <cacheField name="OrderDate" numFmtId="14">
      <sharedItems containsSemiMixedTypes="0" containsNonDate="0" containsDate="1" containsString="0" minDate="2026-01-03T00:00:00" maxDate="2026-06-13T00:00:00"/>
    </cacheField>
    <cacheField name="Region" numFmtId="0">
      <sharedItems count="4">
        <s v="South"/>
        <s v="North"/>
        <s v="West"/>
        <s v="East"/>
      </sharedItems>
    </cacheField>
    <cacheField name="Product" numFmtId="0">
      <sharedItems count="5">
        <s v="Laptop"/>
        <s v="Monitor"/>
        <s v="Keyboard"/>
        <s v="Mouse"/>
        <s v="Headphones"/>
      </sharedItems>
    </cacheField>
    <cacheField name="Quarter" numFmtId="0">
      <sharedItems count="2">
        <s v="Q1"/>
        <s v="Q2"/>
      </sharedItems>
    </cacheField>
    <cacheField name="Units" numFmtId="0">
      <sharedItems containsSemiMixedTypes="0" containsString="0" containsNumber="1" containsInteger="1" minValue="4" maxValue="25"/>
    </cacheField>
    <cacheField name="UnitPrice" numFmtId="0">
      <sharedItems containsSemiMixedTypes="0" containsString="0" containsNumber="1" containsInteger="1" minValue="900" maxValue="65000"/>
    </cacheField>
    <cacheField name="DiscountPct" numFmtId="9">
      <sharedItems containsSemiMixedTypes="0" containsString="0" containsNumber="1" minValue="0" maxValue="0.1"/>
    </cacheField>
    <cacheField name="Revenue" numFmtId="169">
      <sharedItems containsSemiMixedTypes="0" containsString="0" containsNumber="1" containsInteger="1" minValue="5985" maxValue="1387100"/>
    </cacheField>
    <cacheField name="COGS" numFmtId="169">
      <sharedItems containsSemiMixedTypes="0" containsString="0" containsNumber="1" containsInteger="1" minValue="2940" maxValue="1144000"/>
    </cacheField>
    <cacheField name="CustomerSegment" numFmtId="0">
      <sharedItems/>
    </cacheField>
    <cacheField name="SourceFile" numFmtId="0">
      <sharedItems/>
    </cacheField>
    <cacheField name="Margin" numFmtId="169">
      <sharedItems containsSemiMixedTypes="0" containsString="0" containsNumber="1" containsInteger="1" minValue="3045" maxValue="243100"/>
    </cacheField>
    <cacheField name="MarginPct" numFmtId="0">
      <sharedItems containsSemiMixedTypes="0" containsString="0" containsNumber="1" minValue="0.1111111111111111" maxValue="0.5333333333333333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d v="2026-01-03T00:00:00"/>
    <x v="0"/>
    <x v="0"/>
    <x v="0"/>
    <n v="6"/>
    <n v="65000"/>
    <n v="0.05"/>
    <n v="370500"/>
    <n v="312000"/>
    <s v="SMB"/>
    <s v="sales_q1.csv"/>
    <n v="58500"/>
    <n v="0.15789473684210525"/>
  </r>
  <r>
    <d v="2026-02-05T00:00:00"/>
    <x v="0"/>
    <x v="1"/>
    <x v="0"/>
    <n v="9"/>
    <n v="14000"/>
    <n v="0.1"/>
    <n v="113400"/>
    <n v="88200"/>
    <s v="Enterprise"/>
    <s v="sales_q1.csv"/>
    <n v="25200"/>
    <n v="0.22222222222222221"/>
  </r>
  <r>
    <d v="2026-03-07T00:00:00"/>
    <x v="0"/>
    <x v="2"/>
    <x v="0"/>
    <n v="12"/>
    <n v="1800"/>
    <n v="0.08"/>
    <n v="19872"/>
    <n v="11400"/>
    <s v="Retail"/>
    <s v="sales_q1.csv"/>
    <n v="8472"/>
    <n v="0.42632850241545894"/>
  </r>
  <r>
    <d v="2026-01-09T00:00:00"/>
    <x v="0"/>
    <x v="3"/>
    <x v="0"/>
    <n v="15"/>
    <n v="900"/>
    <n v="0.03"/>
    <n v="13095"/>
    <n v="6300"/>
    <s v="SMB"/>
    <s v="sales_q1.csv"/>
    <n v="6795"/>
    <n v="0.51890034364261173"/>
  </r>
  <r>
    <d v="2026-02-11T00:00:00"/>
    <x v="0"/>
    <x v="4"/>
    <x v="0"/>
    <n v="18"/>
    <n v="3200"/>
    <n v="0"/>
    <n v="57600"/>
    <n v="34200"/>
    <s v="Enterprise"/>
    <s v="sales_q1.csv"/>
    <n v="23400"/>
    <n v="0.40625"/>
  </r>
  <r>
    <d v="2026-02-04T00:00:00"/>
    <x v="1"/>
    <x v="0"/>
    <x v="0"/>
    <n v="13"/>
    <n v="65000"/>
    <n v="0.1"/>
    <n v="760500"/>
    <n v="676000"/>
    <s v="Enterprise"/>
    <s v="sales_q1.csv"/>
    <n v="84500"/>
    <n v="0.1111111111111111"/>
  </r>
  <r>
    <d v="2026-03-06T00:00:00"/>
    <x v="1"/>
    <x v="1"/>
    <x v="0"/>
    <n v="16"/>
    <n v="14000"/>
    <n v="0.08"/>
    <n v="206080"/>
    <n v="156800"/>
    <s v="Retail"/>
    <s v="sales_q1.csv"/>
    <n v="49280"/>
    <n v="0.2391304347826087"/>
  </r>
  <r>
    <d v="2026-01-08T00:00:00"/>
    <x v="1"/>
    <x v="2"/>
    <x v="0"/>
    <n v="19"/>
    <n v="1800"/>
    <n v="0.03"/>
    <n v="33174"/>
    <n v="18050"/>
    <s v="SMB"/>
    <s v="sales_q1.csv"/>
    <n v="15124"/>
    <n v="0.45589919816723939"/>
  </r>
  <r>
    <d v="2026-02-10T00:00:00"/>
    <x v="1"/>
    <x v="3"/>
    <x v="0"/>
    <n v="22"/>
    <n v="900"/>
    <n v="0"/>
    <n v="19800"/>
    <n v="9240"/>
    <s v="Enterprise"/>
    <s v="sales_q1.csv"/>
    <n v="10560"/>
    <n v="0.53333333333333333"/>
  </r>
  <r>
    <d v="2026-03-12T00:00:00"/>
    <x v="1"/>
    <x v="4"/>
    <x v="0"/>
    <n v="25"/>
    <n v="3200"/>
    <n v="0.05"/>
    <n v="76000"/>
    <n v="47500"/>
    <s v="Retail"/>
    <s v="sales_q1.csv"/>
    <n v="28500"/>
    <n v="0.375"/>
  </r>
  <r>
    <d v="2026-03-05T00:00:00"/>
    <x v="2"/>
    <x v="0"/>
    <x v="0"/>
    <n v="20"/>
    <n v="65000"/>
    <n v="0.08"/>
    <n v="1196000"/>
    <n v="1040000"/>
    <s v="Retail"/>
    <s v="sales_q1.csv"/>
    <n v="156000"/>
    <n v="0.13043478260869565"/>
  </r>
  <r>
    <d v="2026-01-07T00:00:00"/>
    <x v="2"/>
    <x v="1"/>
    <x v="0"/>
    <n v="23"/>
    <n v="14000"/>
    <n v="0.03"/>
    <n v="312340"/>
    <n v="225400"/>
    <s v="SMB"/>
    <s v="sales_q1.csv"/>
    <n v="86940"/>
    <n v="0.27835051546391754"/>
  </r>
  <r>
    <d v="2026-02-09T00:00:00"/>
    <x v="2"/>
    <x v="2"/>
    <x v="0"/>
    <n v="4"/>
    <n v="1800"/>
    <n v="0"/>
    <n v="7200"/>
    <n v="3800"/>
    <s v="Enterprise"/>
    <s v="sales_q1.csv"/>
    <n v="3400"/>
    <n v="0.47222222222222221"/>
  </r>
  <r>
    <d v="2026-03-11T00:00:00"/>
    <x v="2"/>
    <x v="3"/>
    <x v="0"/>
    <n v="7"/>
    <n v="900"/>
    <n v="0.05"/>
    <n v="5985"/>
    <n v="2940"/>
    <s v="Retail"/>
    <s v="sales_q1.csv"/>
    <n v="3045"/>
    <n v="0.50877192982456143"/>
  </r>
  <r>
    <d v="2026-01-13T00:00:00"/>
    <x v="2"/>
    <x v="4"/>
    <x v="0"/>
    <n v="10"/>
    <n v="3200"/>
    <n v="0.1"/>
    <n v="28800"/>
    <n v="19000"/>
    <s v="SMB"/>
    <s v="sales_q1.csv"/>
    <n v="9800"/>
    <n v="0.34027777777777779"/>
  </r>
  <r>
    <d v="2026-01-06T00:00:00"/>
    <x v="3"/>
    <x v="0"/>
    <x v="0"/>
    <n v="5"/>
    <n v="65000"/>
    <n v="0.03"/>
    <n v="315250"/>
    <n v="260000"/>
    <s v="SMB"/>
    <s v="sales_q1.csv"/>
    <n v="55250"/>
    <n v="0.17525773195876287"/>
  </r>
  <r>
    <d v="2026-02-08T00:00:00"/>
    <x v="3"/>
    <x v="1"/>
    <x v="0"/>
    <n v="8"/>
    <n v="14000"/>
    <n v="0"/>
    <n v="112000"/>
    <n v="78400"/>
    <s v="Enterprise"/>
    <s v="sales_q1.csv"/>
    <n v="33600"/>
    <n v="0.3"/>
  </r>
  <r>
    <d v="2026-03-10T00:00:00"/>
    <x v="3"/>
    <x v="2"/>
    <x v="0"/>
    <n v="11"/>
    <n v="1800"/>
    <n v="0.05"/>
    <n v="18810"/>
    <n v="10450"/>
    <s v="Retail"/>
    <s v="sales_q1.csv"/>
    <n v="8360"/>
    <n v="0.44444444444444442"/>
  </r>
  <r>
    <d v="2026-01-12T00:00:00"/>
    <x v="3"/>
    <x v="3"/>
    <x v="0"/>
    <n v="14"/>
    <n v="900"/>
    <n v="0.1"/>
    <n v="11340"/>
    <n v="5880"/>
    <s v="SMB"/>
    <s v="sales_q1.csv"/>
    <n v="5460"/>
    <n v="0.48148148148148145"/>
  </r>
  <r>
    <d v="2026-02-14T00:00:00"/>
    <x v="3"/>
    <x v="4"/>
    <x v="0"/>
    <n v="17"/>
    <n v="3200"/>
    <n v="0.08"/>
    <n v="50048"/>
    <n v="32300"/>
    <s v="Enterprise"/>
    <s v="sales_q1.csv"/>
    <n v="17748"/>
    <n v="0.3546195652173913"/>
  </r>
  <r>
    <d v="2026-04-03T00:00:00"/>
    <x v="0"/>
    <x v="0"/>
    <x v="1"/>
    <n v="8"/>
    <n v="65000"/>
    <n v="0.1"/>
    <n v="468000"/>
    <n v="416000"/>
    <s v="Enterprise"/>
    <s v="sales_q2.csv"/>
    <n v="52000"/>
    <n v="0.1111111111111111"/>
  </r>
  <r>
    <d v="2026-05-05T00:00:00"/>
    <x v="0"/>
    <x v="1"/>
    <x v="1"/>
    <n v="11"/>
    <n v="14000"/>
    <n v="0.08"/>
    <n v="141680"/>
    <n v="107800"/>
    <s v="Retail"/>
    <s v="sales_q2.csv"/>
    <n v="33880"/>
    <n v="0.2391304347826087"/>
  </r>
  <r>
    <d v="2026-06-07T00:00:00"/>
    <x v="0"/>
    <x v="2"/>
    <x v="1"/>
    <n v="14"/>
    <n v="1800"/>
    <n v="0.03"/>
    <n v="24444"/>
    <n v="13300"/>
    <s v="SMB"/>
    <s v="sales_q2.csv"/>
    <n v="11144"/>
    <n v="0.45589919816723939"/>
  </r>
  <r>
    <d v="2026-04-09T00:00:00"/>
    <x v="0"/>
    <x v="3"/>
    <x v="1"/>
    <n v="17"/>
    <n v="900"/>
    <n v="0"/>
    <n v="15300"/>
    <n v="7140"/>
    <s v="Enterprise"/>
    <s v="sales_q2.csv"/>
    <n v="8160"/>
    <n v="0.53333333333333333"/>
  </r>
  <r>
    <d v="2026-05-11T00:00:00"/>
    <x v="0"/>
    <x v="4"/>
    <x v="1"/>
    <n v="20"/>
    <n v="3200"/>
    <n v="0.05"/>
    <n v="60800"/>
    <n v="38000"/>
    <s v="Retail"/>
    <s v="sales_q2.csv"/>
    <n v="22800"/>
    <n v="0.375"/>
  </r>
  <r>
    <d v="2026-05-04T00:00:00"/>
    <x v="1"/>
    <x v="0"/>
    <x v="1"/>
    <n v="15"/>
    <n v="65000"/>
    <n v="0.08"/>
    <n v="897000"/>
    <n v="780000"/>
    <s v="Retail"/>
    <s v="sales_q2.csv"/>
    <n v="117000"/>
    <n v="0.13043478260869565"/>
  </r>
  <r>
    <d v="2026-06-06T00:00:00"/>
    <x v="1"/>
    <x v="1"/>
    <x v="1"/>
    <n v="18"/>
    <n v="14000"/>
    <n v="0.03"/>
    <n v="244440"/>
    <n v="176400"/>
    <s v="SMB"/>
    <s v="sales_q2.csv"/>
    <n v="68040"/>
    <n v="0.27835051546391754"/>
  </r>
  <r>
    <d v="2026-04-08T00:00:00"/>
    <x v="1"/>
    <x v="2"/>
    <x v="1"/>
    <n v="21"/>
    <n v="1800"/>
    <n v="0"/>
    <n v="37800"/>
    <n v="19950"/>
    <s v="Enterprise"/>
    <s v="sales_q2.csv"/>
    <n v="17850"/>
    <n v="0.47222222222222221"/>
  </r>
  <r>
    <d v="2026-05-10T00:00:00"/>
    <x v="1"/>
    <x v="3"/>
    <x v="1"/>
    <n v="24"/>
    <n v="900"/>
    <n v="0.05"/>
    <n v="20520"/>
    <n v="10080"/>
    <s v="Retail"/>
    <s v="sales_q2.csv"/>
    <n v="10440"/>
    <n v="0.50877192982456143"/>
  </r>
  <r>
    <d v="2026-06-12T00:00:00"/>
    <x v="1"/>
    <x v="4"/>
    <x v="1"/>
    <n v="5"/>
    <n v="3200"/>
    <n v="0.1"/>
    <n v="14400"/>
    <n v="9500"/>
    <s v="SMB"/>
    <s v="sales_q2.csv"/>
    <n v="4900"/>
    <n v="0.34027777777777779"/>
  </r>
  <r>
    <d v="2026-06-05T00:00:00"/>
    <x v="2"/>
    <x v="0"/>
    <x v="1"/>
    <n v="22"/>
    <n v="65000"/>
    <n v="0.03"/>
    <n v="1387100"/>
    <n v="1144000"/>
    <s v="SMB"/>
    <s v="sales_q2.csv"/>
    <n v="243100"/>
    <n v="0.17525773195876287"/>
  </r>
  <r>
    <d v="2026-04-07T00:00:00"/>
    <x v="2"/>
    <x v="1"/>
    <x v="1"/>
    <n v="25"/>
    <n v="14000"/>
    <n v="0"/>
    <n v="350000"/>
    <n v="245000"/>
    <s v="Enterprise"/>
    <s v="sales_q2.csv"/>
    <n v="105000"/>
    <n v="0.3"/>
  </r>
  <r>
    <d v="2026-05-09T00:00:00"/>
    <x v="2"/>
    <x v="2"/>
    <x v="1"/>
    <n v="6"/>
    <n v="1800"/>
    <n v="0.05"/>
    <n v="10260"/>
    <n v="5700"/>
    <s v="Retail"/>
    <s v="sales_q2.csv"/>
    <n v="4560"/>
    <n v="0.44444444444444442"/>
  </r>
  <r>
    <d v="2026-06-11T00:00:00"/>
    <x v="2"/>
    <x v="3"/>
    <x v="1"/>
    <n v="9"/>
    <n v="900"/>
    <n v="0.1"/>
    <n v="7290"/>
    <n v="3780"/>
    <s v="SMB"/>
    <s v="sales_q2.csv"/>
    <n v="3510"/>
    <n v="0.48148148148148145"/>
  </r>
  <r>
    <d v="2026-04-13T00:00:00"/>
    <x v="2"/>
    <x v="4"/>
    <x v="1"/>
    <n v="12"/>
    <n v="3200"/>
    <n v="0.08"/>
    <n v="35328"/>
    <n v="22800"/>
    <s v="Enterprise"/>
    <s v="sales_q2.csv"/>
    <n v="12528"/>
    <n v="0.3546195652173913"/>
  </r>
  <r>
    <d v="2026-04-06T00:00:00"/>
    <x v="3"/>
    <x v="0"/>
    <x v="1"/>
    <n v="7"/>
    <n v="65000"/>
    <n v="0"/>
    <n v="455000"/>
    <n v="364000"/>
    <s v="Enterprise"/>
    <s v="sales_q2.csv"/>
    <n v="91000"/>
    <n v="0.2"/>
  </r>
  <r>
    <d v="2026-05-08T00:00:00"/>
    <x v="3"/>
    <x v="1"/>
    <x v="1"/>
    <n v="10"/>
    <n v="14000"/>
    <n v="0.05"/>
    <n v="133000"/>
    <n v="98000"/>
    <s v="Retail"/>
    <s v="sales_q2.csv"/>
    <n v="35000"/>
    <n v="0.26315789473684209"/>
  </r>
  <r>
    <d v="2026-06-10T00:00:00"/>
    <x v="3"/>
    <x v="2"/>
    <x v="1"/>
    <n v="13"/>
    <n v="1800"/>
    <n v="0.1"/>
    <n v="21060"/>
    <n v="12350"/>
    <s v="SMB"/>
    <s v="sales_q2.csv"/>
    <n v="8710"/>
    <n v="0.41358024691358025"/>
  </r>
  <r>
    <d v="2026-04-12T00:00:00"/>
    <x v="3"/>
    <x v="3"/>
    <x v="1"/>
    <n v="16"/>
    <n v="900"/>
    <n v="0.08"/>
    <n v="13248"/>
    <n v="6720"/>
    <s v="Enterprise"/>
    <s v="sales_q2.csv"/>
    <n v="6528"/>
    <n v="0.49275362318840582"/>
  </r>
  <r>
    <d v="2026-05-14T00:00:00"/>
    <x v="3"/>
    <x v="4"/>
    <x v="1"/>
    <n v="19"/>
    <n v="3200"/>
    <n v="0.03"/>
    <n v="58976"/>
    <n v="36100"/>
    <s v="Retail"/>
    <s v="sales_q2.csv"/>
    <n v="22876"/>
    <n v="0.387886597938144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1DA6-07F5-4AF3-8CDA-8BF2D337E937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0" firstHeaderRow="1" firstDataRow="3" firstDataCol="1"/>
  <pivotFields count="13">
    <pivotField numFmtId="14" showAll="0"/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6">
        <item x="4"/>
        <item x="2"/>
        <item x="0"/>
        <item x="1"/>
        <item x="3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numFmtId="9" showAll="0"/>
    <pivotField numFmtId="169" showAll="0"/>
    <pivotField numFmtId="169" showAll="0"/>
    <pivotField showAll="0"/>
    <pivotField showAll="0"/>
    <pivotField dataField="1" numFmtId="169" showAll="0"/>
    <pivotField dataField="1" showAll="0"/>
  </pivotFields>
  <rowFields count="2">
    <field x="1"/>
    <field x="2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Margin" fld="11" baseField="0" baseItem="0" numFmtId="169"/>
    <dataField name="Sum of MarginPct" fld="12" baseField="0" baseItem="0"/>
  </dataFields>
  <formats count="43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3" type="button" dataOnly="0" labelOnly="1" outline="0" axis="axisCol" fieldPosition="0"/>
    </format>
    <format dxfId="22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7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28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29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30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type="topRight" dataOnly="0" labelOnly="1" outline="0" fieldPosition="0"/>
    </format>
    <format dxfId="34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7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38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39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40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41">
      <pivotArea field="-2" type="button" dataOnly="0" labelOnly="1" outline="0" axis="axisCol" fieldPosition="1"/>
    </format>
    <format dxfId="42">
      <pivotArea type="topRight" dataOnly="0" labelOnly="1" outline="0" offset="B1:D1" fieldPosition="0"/>
    </format>
    <format dxfId="17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16">
      <pivotArea field="-2" type="button" dataOnly="0" labelOnly="1" outline="0" axis="axisCol" fieldPosition="1"/>
    </format>
    <format dxfId="15">
      <pivotArea dataOnly="0" labelOnly="1" fieldPosition="0">
        <references count="1">
          <reference field="3" count="1">
            <x v="0"/>
          </reference>
        </references>
      </pivotArea>
    </format>
    <format dxfId="14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13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  <format dxfId="12">
      <pivotArea field="3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11">
      <pivotArea field="3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dataOnly="0" labelOnly="1" fieldPosition="0">
        <references count="1">
          <reference field="3" count="1">
            <x v="0"/>
          </reference>
        </references>
      </pivotArea>
    </format>
    <format dxfId="8">
      <pivotArea type="topRight" dataOnly="0" labelOnly="1" outline="0" offset="A1:B1" fieldPosition="0"/>
    </format>
    <format dxfId="7">
      <pivotArea dataOnly="0" labelOnly="1" fieldPosition="0">
        <references count="1">
          <reference field="3" count="1">
            <x v="1"/>
          </reference>
        </references>
      </pivotArea>
    </format>
    <format dxfId="6">
      <pivotArea type="topRight" dataOnly="0" labelOnly="1" outline="0" offset="C1:D1" fieldPosition="0"/>
    </format>
    <format dxfId="5">
      <pivotArea field="3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4">
      <pivotArea field="3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3">
      <pivotArea type="topRight" dataOnly="0" labelOnly="1" outline="0" offset="D1" fieldPosition="0"/>
    </format>
    <format dxfId="2">
      <pivotArea field="3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1">
      <pivotArea field="3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0">
      <pivotArea type="origin" dataOnly="0" labelOnly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72777FF-0120-4FE7-AE88-D135D9CD0831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OrderDate" tableColumnId="1"/>
      <queryTableField id="2" name="Region" tableColumnId="2"/>
      <queryTableField id="3" name="Product" tableColumnId="3"/>
      <queryTableField id="4" name="Quarter" tableColumnId="4"/>
      <queryTableField id="5" name="Units" tableColumnId="5"/>
      <queryTableField id="6" name="UnitPrice" tableColumnId="6"/>
      <queryTableField id="7" name="DiscountPct" tableColumnId="7"/>
      <queryTableField id="8" name="Revenue" tableColumnId="8"/>
      <queryTableField id="9" name="COGS" tableColumnId="9"/>
      <queryTableField id="10" name="CustomerSegment" tableColumnId="10"/>
      <queryTableField id="11" name="SourceFile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4E3AD7-0530-4DFC-8663-9DF3478C2B19}" name="Sales_Combined" displayName="Sales_Combined" ref="A1:M41" tableType="queryTable" totalsRowShown="0">
  <autoFilter ref="A1:M41" xr:uid="{0F4E3AD7-0530-4DFC-8663-9DF3478C2B19}"/>
  <tableColumns count="13">
    <tableColumn id="1" xr3:uid="{7AA9D98B-37DC-4B18-8475-41BDFBAFE564}" uniqueName="1" name="OrderDate" queryTableFieldId="1" dataDxfId="51"/>
    <tableColumn id="2" xr3:uid="{C35DCEAA-05D6-4685-A9F8-CDED5453F2E6}" uniqueName="2" name="Region" queryTableFieldId="2" dataDxfId="50"/>
    <tableColumn id="3" xr3:uid="{A03BD36F-A90B-47E5-96C2-DBB8F5361C9C}" uniqueName="3" name="Product" queryTableFieldId="3" dataDxfId="49"/>
    <tableColumn id="4" xr3:uid="{DEA93953-4A90-4236-9D22-D9CF5DFBF3EA}" uniqueName="4" name="Quarter" queryTableFieldId="4" dataDxfId="48"/>
    <tableColumn id="5" xr3:uid="{6A2B09A0-5319-4361-BECC-8D378364E2AB}" uniqueName="5" name="Units" queryTableFieldId="5"/>
    <tableColumn id="6" xr3:uid="{0DC16DB5-6DEC-43DF-AC1A-32DDD7CE715E}" uniqueName="6" name="UnitPrice" queryTableFieldId="6"/>
    <tableColumn id="7" xr3:uid="{77C6DA66-9A7D-45B4-8C54-398C4D67B7F7}" uniqueName="7" name="DiscountPct" queryTableFieldId="7" dataCellStyle="Percent"/>
    <tableColumn id="8" xr3:uid="{59D2DB33-3AE6-468F-91FC-37CAAFE07EDA}" uniqueName="8" name="Revenue" queryTableFieldId="8"/>
    <tableColumn id="9" xr3:uid="{FA334677-038B-4B02-BBFF-E758FA946901}" uniqueName="9" name="COGS" queryTableFieldId="9" dataDxfId="47"/>
    <tableColumn id="10" xr3:uid="{789B71FF-9084-4EA4-9FEA-BD09BAD93BDB}" uniqueName="10" name="CustomerSegment" queryTableFieldId="10" dataDxfId="46"/>
    <tableColumn id="11" xr3:uid="{1B4688C0-5217-4B8A-BD74-7B4674FC27FE}" uniqueName="11" name="SourceFile" queryTableFieldId="11" dataDxfId="45"/>
    <tableColumn id="12" xr3:uid="{04D4408E-A4E3-4A38-B04B-A3EA6A7873FF}" uniqueName="12" name="Margin" queryTableFieldId="12" dataDxfId="44">
      <calculatedColumnFormula>H2-I2</calculatedColumnFormula>
    </tableColumn>
    <tableColumn id="13" xr3:uid="{BBBFE683-DC30-4343-B730-69B86244AFB9}" uniqueName="13" name="MarginPct" queryTableFieldId="13" dataDxfId="43">
      <calculatedColumnFormula>IFERROR(L2/H2,0)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A791-3698-402F-98AA-0694CAC1DC15}">
  <dimension ref="A1:M42"/>
  <sheetViews>
    <sheetView tabSelected="1" workbookViewId="0"/>
  </sheetViews>
  <sheetFormatPr defaultRowHeight="14.5" x14ac:dyDescent="0.35"/>
  <cols>
    <col min="1" max="1" width="12" bestFit="1" customWidth="1"/>
    <col min="3" max="3" width="11.36328125" bestFit="1" customWidth="1"/>
    <col min="4" max="4" width="9.7265625" bestFit="1" customWidth="1"/>
    <col min="5" max="5" width="7.453125" bestFit="1" customWidth="1"/>
    <col min="6" max="6" width="10.7265625" bestFit="1" customWidth="1"/>
    <col min="7" max="7" width="13.08984375" style="4" bestFit="1" customWidth="1"/>
    <col min="8" max="8" width="13.7265625" bestFit="1" customWidth="1"/>
    <col min="9" max="9" width="13.7265625" style="8" bestFit="1" customWidth="1"/>
    <col min="10" max="10" width="18.6328125" bestFit="1" customWidth="1"/>
    <col min="11" max="11" width="11.54296875" bestFit="1" customWidth="1"/>
    <col min="12" max="12" width="12.1796875" style="8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s="8" t="s">
        <v>8</v>
      </c>
      <c r="J1" t="s">
        <v>9</v>
      </c>
      <c r="K1" t="s">
        <v>10</v>
      </c>
      <c r="L1" s="8" t="s">
        <v>27</v>
      </c>
      <c r="M1" t="s">
        <v>28</v>
      </c>
    </row>
    <row r="2" spans="1:13" x14ac:dyDescent="0.35">
      <c r="A2" s="1">
        <v>46025</v>
      </c>
      <c r="B2" s="2" t="s">
        <v>11</v>
      </c>
      <c r="C2" s="2" t="s">
        <v>12</v>
      </c>
      <c r="D2" s="2" t="s">
        <v>13</v>
      </c>
      <c r="E2">
        <v>6</v>
      </c>
      <c r="F2">
        <v>65000</v>
      </c>
      <c r="G2" s="4">
        <v>0.05</v>
      </c>
      <c r="H2" s="8">
        <v>370500</v>
      </c>
      <c r="I2" s="8">
        <v>312000</v>
      </c>
      <c r="J2" s="2" t="s">
        <v>14</v>
      </c>
      <c r="K2" s="2" t="s">
        <v>15</v>
      </c>
      <c r="L2" s="8">
        <f t="shared" ref="L2:L41" si="0">H2-I2</f>
        <v>58500</v>
      </c>
      <c r="M2" s="5">
        <f t="shared" ref="M2:M41" si="1">IFERROR(L2/H2,0)</f>
        <v>0.15789473684210525</v>
      </c>
    </row>
    <row r="3" spans="1:13" x14ac:dyDescent="0.35">
      <c r="A3" s="1">
        <v>46058</v>
      </c>
      <c r="B3" s="2" t="s">
        <v>11</v>
      </c>
      <c r="C3" s="2" t="s">
        <v>16</v>
      </c>
      <c r="D3" s="2" t="s">
        <v>13</v>
      </c>
      <c r="E3">
        <v>9</v>
      </c>
      <c r="F3">
        <v>14000</v>
      </c>
      <c r="G3" s="4">
        <v>0.1</v>
      </c>
      <c r="H3" s="8">
        <v>113400</v>
      </c>
      <c r="I3" s="8">
        <v>88200</v>
      </c>
      <c r="J3" s="2" t="s">
        <v>17</v>
      </c>
      <c r="K3" s="2" t="s">
        <v>15</v>
      </c>
      <c r="L3" s="8">
        <f t="shared" si="0"/>
        <v>25200</v>
      </c>
      <c r="M3" s="7">
        <f t="shared" si="1"/>
        <v>0.22222222222222221</v>
      </c>
    </row>
    <row r="4" spans="1:13" x14ac:dyDescent="0.35">
      <c r="A4" s="1">
        <v>46088</v>
      </c>
      <c r="B4" s="2" t="s">
        <v>11</v>
      </c>
      <c r="C4" s="2" t="s">
        <v>18</v>
      </c>
      <c r="D4" s="2" t="s">
        <v>13</v>
      </c>
      <c r="E4">
        <v>12</v>
      </c>
      <c r="F4">
        <v>1800</v>
      </c>
      <c r="G4" s="4">
        <v>0.08</v>
      </c>
      <c r="H4" s="8">
        <v>19872</v>
      </c>
      <c r="I4" s="8">
        <v>11400</v>
      </c>
      <c r="J4" s="2" t="s">
        <v>19</v>
      </c>
      <c r="K4" s="2" t="s">
        <v>15</v>
      </c>
      <c r="L4" s="8">
        <f t="shared" si="0"/>
        <v>8472</v>
      </c>
      <c r="M4" s="7">
        <f t="shared" si="1"/>
        <v>0.42632850241545894</v>
      </c>
    </row>
    <row r="5" spans="1:13" x14ac:dyDescent="0.35">
      <c r="A5" s="1">
        <v>46031</v>
      </c>
      <c r="B5" s="2" t="s">
        <v>11</v>
      </c>
      <c r="C5" s="2" t="s">
        <v>20</v>
      </c>
      <c r="D5" s="2" t="s">
        <v>13</v>
      </c>
      <c r="E5">
        <v>15</v>
      </c>
      <c r="F5">
        <v>900</v>
      </c>
      <c r="G5" s="4">
        <v>0.03</v>
      </c>
      <c r="H5" s="8">
        <v>13095</v>
      </c>
      <c r="I5" s="8">
        <v>6300</v>
      </c>
      <c r="J5" s="2" t="s">
        <v>14</v>
      </c>
      <c r="K5" s="2" t="s">
        <v>15</v>
      </c>
      <c r="L5" s="8">
        <f t="shared" si="0"/>
        <v>6795</v>
      </c>
      <c r="M5" s="7">
        <f t="shared" si="1"/>
        <v>0.51890034364261173</v>
      </c>
    </row>
    <row r="6" spans="1:13" x14ac:dyDescent="0.35">
      <c r="A6" s="1">
        <v>46064</v>
      </c>
      <c r="B6" s="2" t="s">
        <v>11</v>
      </c>
      <c r="C6" s="2" t="s">
        <v>21</v>
      </c>
      <c r="D6" s="2" t="s">
        <v>13</v>
      </c>
      <c r="E6">
        <v>18</v>
      </c>
      <c r="F6">
        <v>3200</v>
      </c>
      <c r="G6" s="4">
        <v>0</v>
      </c>
      <c r="H6" s="8">
        <v>57600</v>
      </c>
      <c r="I6" s="8">
        <v>34200</v>
      </c>
      <c r="J6" s="2" t="s">
        <v>17</v>
      </c>
      <c r="K6" s="2" t="s">
        <v>15</v>
      </c>
      <c r="L6" s="8">
        <f t="shared" si="0"/>
        <v>23400</v>
      </c>
      <c r="M6" s="7">
        <f t="shared" si="1"/>
        <v>0.40625</v>
      </c>
    </row>
    <row r="7" spans="1:13" x14ac:dyDescent="0.35">
      <c r="A7" s="1">
        <v>46057</v>
      </c>
      <c r="B7" s="2" t="s">
        <v>22</v>
      </c>
      <c r="C7" s="2" t="s">
        <v>12</v>
      </c>
      <c r="D7" s="2" t="s">
        <v>13</v>
      </c>
      <c r="E7">
        <v>13</v>
      </c>
      <c r="F7">
        <v>65000</v>
      </c>
      <c r="G7" s="4">
        <v>0.1</v>
      </c>
      <c r="H7" s="8">
        <v>760500</v>
      </c>
      <c r="I7" s="8">
        <v>676000</v>
      </c>
      <c r="J7" s="2" t="s">
        <v>17</v>
      </c>
      <c r="K7" s="2" t="s">
        <v>15</v>
      </c>
      <c r="L7" s="8">
        <f t="shared" si="0"/>
        <v>84500</v>
      </c>
      <c r="M7" s="7">
        <f t="shared" si="1"/>
        <v>0.1111111111111111</v>
      </c>
    </row>
    <row r="8" spans="1:13" x14ac:dyDescent="0.35">
      <c r="A8" s="1">
        <v>46087</v>
      </c>
      <c r="B8" s="2" t="s">
        <v>22</v>
      </c>
      <c r="C8" s="2" t="s">
        <v>16</v>
      </c>
      <c r="D8" s="2" t="s">
        <v>13</v>
      </c>
      <c r="E8">
        <v>16</v>
      </c>
      <c r="F8">
        <v>14000</v>
      </c>
      <c r="G8" s="4">
        <v>0.08</v>
      </c>
      <c r="H8" s="8">
        <v>206080</v>
      </c>
      <c r="I8" s="8">
        <v>156800</v>
      </c>
      <c r="J8" s="2" t="s">
        <v>19</v>
      </c>
      <c r="K8" s="2" t="s">
        <v>15</v>
      </c>
      <c r="L8" s="8">
        <f t="shared" si="0"/>
        <v>49280</v>
      </c>
      <c r="M8" s="7">
        <f t="shared" si="1"/>
        <v>0.2391304347826087</v>
      </c>
    </row>
    <row r="9" spans="1:13" x14ac:dyDescent="0.35">
      <c r="A9" s="1">
        <v>46030</v>
      </c>
      <c r="B9" s="2" t="s">
        <v>22</v>
      </c>
      <c r="C9" s="2" t="s">
        <v>18</v>
      </c>
      <c r="D9" s="2" t="s">
        <v>13</v>
      </c>
      <c r="E9">
        <v>19</v>
      </c>
      <c r="F9">
        <v>1800</v>
      </c>
      <c r="G9" s="4">
        <v>0.03</v>
      </c>
      <c r="H9" s="8">
        <v>33174</v>
      </c>
      <c r="I9" s="8">
        <v>18050</v>
      </c>
      <c r="J9" s="2" t="s">
        <v>14</v>
      </c>
      <c r="K9" s="2" t="s">
        <v>15</v>
      </c>
      <c r="L9" s="8">
        <f t="shared" si="0"/>
        <v>15124</v>
      </c>
      <c r="M9" s="7">
        <f t="shared" si="1"/>
        <v>0.45589919816723939</v>
      </c>
    </row>
    <row r="10" spans="1:13" x14ac:dyDescent="0.35">
      <c r="A10" s="1">
        <v>46063</v>
      </c>
      <c r="B10" s="2" t="s">
        <v>22</v>
      </c>
      <c r="C10" s="2" t="s">
        <v>20</v>
      </c>
      <c r="D10" s="2" t="s">
        <v>13</v>
      </c>
      <c r="E10">
        <v>22</v>
      </c>
      <c r="F10">
        <v>900</v>
      </c>
      <c r="G10" s="4">
        <v>0</v>
      </c>
      <c r="H10" s="8">
        <v>19800</v>
      </c>
      <c r="I10" s="8">
        <v>9240</v>
      </c>
      <c r="J10" s="2" t="s">
        <v>17</v>
      </c>
      <c r="K10" s="2" t="s">
        <v>15</v>
      </c>
      <c r="L10" s="8">
        <f t="shared" si="0"/>
        <v>10560</v>
      </c>
      <c r="M10" s="7">
        <f t="shared" si="1"/>
        <v>0.53333333333333333</v>
      </c>
    </row>
    <row r="11" spans="1:13" x14ac:dyDescent="0.35">
      <c r="A11" s="1">
        <v>46093</v>
      </c>
      <c r="B11" s="2" t="s">
        <v>22</v>
      </c>
      <c r="C11" s="2" t="s">
        <v>21</v>
      </c>
      <c r="D11" s="2" t="s">
        <v>13</v>
      </c>
      <c r="E11">
        <v>25</v>
      </c>
      <c r="F11">
        <v>3200</v>
      </c>
      <c r="G11" s="4">
        <v>0.05</v>
      </c>
      <c r="H11" s="8">
        <v>76000</v>
      </c>
      <c r="I11" s="8">
        <v>47500</v>
      </c>
      <c r="J11" s="2" t="s">
        <v>19</v>
      </c>
      <c r="K11" s="2" t="s">
        <v>15</v>
      </c>
      <c r="L11" s="8">
        <f t="shared" si="0"/>
        <v>28500</v>
      </c>
      <c r="M11" s="7">
        <f t="shared" si="1"/>
        <v>0.375</v>
      </c>
    </row>
    <row r="12" spans="1:13" x14ac:dyDescent="0.35">
      <c r="A12" s="1">
        <v>46086</v>
      </c>
      <c r="B12" s="2" t="s">
        <v>23</v>
      </c>
      <c r="C12" s="2" t="s">
        <v>12</v>
      </c>
      <c r="D12" s="2" t="s">
        <v>13</v>
      </c>
      <c r="E12">
        <v>20</v>
      </c>
      <c r="F12">
        <v>65000</v>
      </c>
      <c r="G12" s="4">
        <v>0.08</v>
      </c>
      <c r="H12" s="8">
        <v>1196000</v>
      </c>
      <c r="I12" s="8">
        <v>1040000</v>
      </c>
      <c r="J12" s="2" t="s">
        <v>19</v>
      </c>
      <c r="K12" s="2" t="s">
        <v>15</v>
      </c>
      <c r="L12" s="8">
        <f t="shared" si="0"/>
        <v>156000</v>
      </c>
      <c r="M12" s="7">
        <f t="shared" si="1"/>
        <v>0.13043478260869565</v>
      </c>
    </row>
    <row r="13" spans="1:13" x14ac:dyDescent="0.35">
      <c r="A13" s="1">
        <v>46029</v>
      </c>
      <c r="B13" s="2" t="s">
        <v>23</v>
      </c>
      <c r="C13" s="2" t="s">
        <v>16</v>
      </c>
      <c r="D13" s="2" t="s">
        <v>13</v>
      </c>
      <c r="E13">
        <v>23</v>
      </c>
      <c r="F13">
        <v>14000</v>
      </c>
      <c r="G13" s="4">
        <v>0.03</v>
      </c>
      <c r="H13" s="8">
        <v>312340</v>
      </c>
      <c r="I13" s="8">
        <v>225400</v>
      </c>
      <c r="J13" s="2" t="s">
        <v>14</v>
      </c>
      <c r="K13" s="2" t="s">
        <v>15</v>
      </c>
      <c r="L13" s="8">
        <f t="shared" si="0"/>
        <v>86940</v>
      </c>
      <c r="M13" s="7">
        <f t="shared" si="1"/>
        <v>0.27835051546391754</v>
      </c>
    </row>
    <row r="14" spans="1:13" x14ac:dyDescent="0.35">
      <c r="A14" s="1">
        <v>46062</v>
      </c>
      <c r="B14" s="2" t="s">
        <v>23</v>
      </c>
      <c r="C14" s="2" t="s">
        <v>18</v>
      </c>
      <c r="D14" s="2" t="s">
        <v>13</v>
      </c>
      <c r="E14">
        <v>4</v>
      </c>
      <c r="F14">
        <v>1800</v>
      </c>
      <c r="G14" s="4">
        <v>0</v>
      </c>
      <c r="H14" s="8">
        <v>7200</v>
      </c>
      <c r="I14" s="8">
        <v>3800</v>
      </c>
      <c r="J14" s="2" t="s">
        <v>17</v>
      </c>
      <c r="K14" s="2" t="s">
        <v>15</v>
      </c>
      <c r="L14" s="8">
        <f t="shared" si="0"/>
        <v>3400</v>
      </c>
      <c r="M14" s="7">
        <f t="shared" si="1"/>
        <v>0.47222222222222221</v>
      </c>
    </row>
    <row r="15" spans="1:13" x14ac:dyDescent="0.35">
      <c r="A15" s="1">
        <v>46092</v>
      </c>
      <c r="B15" s="2" t="s">
        <v>23</v>
      </c>
      <c r="C15" s="2" t="s">
        <v>20</v>
      </c>
      <c r="D15" s="2" t="s">
        <v>13</v>
      </c>
      <c r="E15">
        <v>7</v>
      </c>
      <c r="F15">
        <v>900</v>
      </c>
      <c r="G15" s="4">
        <v>0.05</v>
      </c>
      <c r="H15" s="8">
        <v>5985</v>
      </c>
      <c r="I15" s="8">
        <v>2940</v>
      </c>
      <c r="J15" s="2" t="s">
        <v>19</v>
      </c>
      <c r="K15" s="2" t="s">
        <v>15</v>
      </c>
      <c r="L15" s="8">
        <f t="shared" si="0"/>
        <v>3045</v>
      </c>
      <c r="M15" s="7">
        <f t="shared" si="1"/>
        <v>0.50877192982456143</v>
      </c>
    </row>
    <row r="16" spans="1:13" x14ac:dyDescent="0.35">
      <c r="A16" s="1">
        <v>46035</v>
      </c>
      <c r="B16" s="2" t="s">
        <v>23</v>
      </c>
      <c r="C16" s="2" t="s">
        <v>21</v>
      </c>
      <c r="D16" s="2" t="s">
        <v>13</v>
      </c>
      <c r="E16">
        <v>10</v>
      </c>
      <c r="F16">
        <v>3200</v>
      </c>
      <c r="G16" s="4">
        <v>0.1</v>
      </c>
      <c r="H16" s="8">
        <v>28800</v>
      </c>
      <c r="I16" s="8">
        <v>19000</v>
      </c>
      <c r="J16" s="2" t="s">
        <v>14</v>
      </c>
      <c r="K16" s="2" t="s">
        <v>15</v>
      </c>
      <c r="L16" s="8">
        <f t="shared" si="0"/>
        <v>9800</v>
      </c>
      <c r="M16" s="7">
        <f t="shared" si="1"/>
        <v>0.34027777777777779</v>
      </c>
    </row>
    <row r="17" spans="1:13" x14ac:dyDescent="0.35">
      <c r="A17" s="1">
        <v>46028</v>
      </c>
      <c r="B17" s="2" t="s">
        <v>24</v>
      </c>
      <c r="C17" s="2" t="s">
        <v>12</v>
      </c>
      <c r="D17" s="2" t="s">
        <v>13</v>
      </c>
      <c r="E17">
        <v>5</v>
      </c>
      <c r="F17">
        <v>65000</v>
      </c>
      <c r="G17" s="4">
        <v>0.03</v>
      </c>
      <c r="H17" s="8">
        <v>315250</v>
      </c>
      <c r="I17" s="8">
        <v>260000</v>
      </c>
      <c r="J17" s="2" t="s">
        <v>14</v>
      </c>
      <c r="K17" s="2" t="s">
        <v>15</v>
      </c>
      <c r="L17" s="8">
        <f t="shared" si="0"/>
        <v>55250</v>
      </c>
      <c r="M17" s="7">
        <f t="shared" si="1"/>
        <v>0.17525773195876287</v>
      </c>
    </row>
    <row r="18" spans="1:13" x14ac:dyDescent="0.35">
      <c r="A18" s="1">
        <v>46061</v>
      </c>
      <c r="B18" s="2" t="s">
        <v>24</v>
      </c>
      <c r="C18" s="2" t="s">
        <v>16</v>
      </c>
      <c r="D18" s="2" t="s">
        <v>13</v>
      </c>
      <c r="E18">
        <v>8</v>
      </c>
      <c r="F18">
        <v>14000</v>
      </c>
      <c r="G18" s="4">
        <v>0</v>
      </c>
      <c r="H18" s="8">
        <v>112000</v>
      </c>
      <c r="I18" s="8">
        <v>78400</v>
      </c>
      <c r="J18" s="2" t="s">
        <v>17</v>
      </c>
      <c r="K18" s="2" t="s">
        <v>15</v>
      </c>
      <c r="L18" s="8">
        <f t="shared" si="0"/>
        <v>33600</v>
      </c>
      <c r="M18" s="7">
        <f t="shared" si="1"/>
        <v>0.3</v>
      </c>
    </row>
    <row r="19" spans="1:13" x14ac:dyDescent="0.35">
      <c r="A19" s="1">
        <v>46091</v>
      </c>
      <c r="B19" s="2" t="s">
        <v>24</v>
      </c>
      <c r="C19" s="2" t="s">
        <v>18</v>
      </c>
      <c r="D19" s="2" t="s">
        <v>13</v>
      </c>
      <c r="E19">
        <v>11</v>
      </c>
      <c r="F19">
        <v>1800</v>
      </c>
      <c r="G19" s="4">
        <v>0.05</v>
      </c>
      <c r="H19" s="8">
        <v>18810</v>
      </c>
      <c r="I19" s="8">
        <v>10450</v>
      </c>
      <c r="J19" s="2" t="s">
        <v>19</v>
      </c>
      <c r="K19" s="2" t="s">
        <v>15</v>
      </c>
      <c r="L19" s="8">
        <f t="shared" si="0"/>
        <v>8360</v>
      </c>
      <c r="M19" s="7">
        <f t="shared" si="1"/>
        <v>0.44444444444444442</v>
      </c>
    </row>
    <row r="20" spans="1:13" x14ac:dyDescent="0.35">
      <c r="A20" s="1">
        <v>46034</v>
      </c>
      <c r="B20" s="2" t="s">
        <v>24</v>
      </c>
      <c r="C20" s="2" t="s">
        <v>20</v>
      </c>
      <c r="D20" s="2" t="s">
        <v>13</v>
      </c>
      <c r="E20">
        <v>14</v>
      </c>
      <c r="F20">
        <v>900</v>
      </c>
      <c r="G20" s="4">
        <v>0.1</v>
      </c>
      <c r="H20" s="8">
        <v>11340</v>
      </c>
      <c r="I20" s="8">
        <v>5880</v>
      </c>
      <c r="J20" s="2" t="s">
        <v>14</v>
      </c>
      <c r="K20" s="2" t="s">
        <v>15</v>
      </c>
      <c r="L20" s="8">
        <f t="shared" si="0"/>
        <v>5460</v>
      </c>
      <c r="M20" s="7">
        <f t="shared" si="1"/>
        <v>0.48148148148148145</v>
      </c>
    </row>
    <row r="21" spans="1:13" x14ac:dyDescent="0.35">
      <c r="A21" s="1">
        <v>46067</v>
      </c>
      <c r="B21" s="2" t="s">
        <v>24</v>
      </c>
      <c r="C21" s="2" t="s">
        <v>21</v>
      </c>
      <c r="D21" s="2" t="s">
        <v>13</v>
      </c>
      <c r="E21">
        <v>17</v>
      </c>
      <c r="F21">
        <v>3200</v>
      </c>
      <c r="G21" s="4">
        <v>0.08</v>
      </c>
      <c r="H21" s="8">
        <v>50048</v>
      </c>
      <c r="I21" s="8">
        <v>32300</v>
      </c>
      <c r="J21" s="2" t="s">
        <v>17</v>
      </c>
      <c r="K21" s="2" t="s">
        <v>15</v>
      </c>
      <c r="L21" s="8">
        <f t="shared" si="0"/>
        <v>17748</v>
      </c>
      <c r="M21" s="7">
        <f t="shared" si="1"/>
        <v>0.3546195652173913</v>
      </c>
    </row>
    <row r="22" spans="1:13" x14ac:dyDescent="0.35">
      <c r="A22" s="1">
        <v>46115</v>
      </c>
      <c r="B22" s="2" t="s">
        <v>11</v>
      </c>
      <c r="C22" s="2" t="s">
        <v>12</v>
      </c>
      <c r="D22" s="2" t="s">
        <v>25</v>
      </c>
      <c r="E22">
        <v>8</v>
      </c>
      <c r="F22">
        <v>65000</v>
      </c>
      <c r="G22" s="4">
        <v>0.1</v>
      </c>
      <c r="H22" s="8">
        <v>468000</v>
      </c>
      <c r="I22" s="8">
        <v>416000</v>
      </c>
      <c r="J22" s="2" t="s">
        <v>17</v>
      </c>
      <c r="K22" s="2" t="s">
        <v>26</v>
      </c>
      <c r="L22" s="8">
        <f t="shared" si="0"/>
        <v>52000</v>
      </c>
      <c r="M22" s="7">
        <f t="shared" si="1"/>
        <v>0.1111111111111111</v>
      </c>
    </row>
    <row r="23" spans="1:13" x14ac:dyDescent="0.35">
      <c r="A23" s="1">
        <v>46147</v>
      </c>
      <c r="B23" s="2" t="s">
        <v>11</v>
      </c>
      <c r="C23" s="2" t="s">
        <v>16</v>
      </c>
      <c r="D23" s="2" t="s">
        <v>25</v>
      </c>
      <c r="E23">
        <v>11</v>
      </c>
      <c r="F23">
        <v>14000</v>
      </c>
      <c r="G23" s="4">
        <v>0.08</v>
      </c>
      <c r="H23" s="8">
        <v>141680</v>
      </c>
      <c r="I23" s="8">
        <v>107800</v>
      </c>
      <c r="J23" s="2" t="s">
        <v>19</v>
      </c>
      <c r="K23" s="2" t="s">
        <v>26</v>
      </c>
      <c r="L23" s="8">
        <f t="shared" si="0"/>
        <v>33880</v>
      </c>
      <c r="M23" s="7">
        <f t="shared" si="1"/>
        <v>0.2391304347826087</v>
      </c>
    </row>
    <row r="24" spans="1:13" x14ac:dyDescent="0.35">
      <c r="A24" s="1">
        <v>46180</v>
      </c>
      <c r="B24" s="2" t="s">
        <v>11</v>
      </c>
      <c r="C24" s="2" t="s">
        <v>18</v>
      </c>
      <c r="D24" s="2" t="s">
        <v>25</v>
      </c>
      <c r="E24">
        <v>14</v>
      </c>
      <c r="F24">
        <v>1800</v>
      </c>
      <c r="G24" s="4">
        <v>0.03</v>
      </c>
      <c r="H24" s="8">
        <v>24444</v>
      </c>
      <c r="I24" s="8">
        <v>13300</v>
      </c>
      <c r="J24" s="2" t="s">
        <v>14</v>
      </c>
      <c r="K24" s="2" t="s">
        <v>26</v>
      </c>
      <c r="L24" s="8">
        <f t="shared" si="0"/>
        <v>11144</v>
      </c>
      <c r="M24" s="7">
        <f t="shared" si="1"/>
        <v>0.45589919816723939</v>
      </c>
    </row>
    <row r="25" spans="1:13" x14ac:dyDescent="0.35">
      <c r="A25" s="1">
        <v>46121</v>
      </c>
      <c r="B25" s="2" t="s">
        <v>11</v>
      </c>
      <c r="C25" s="2" t="s">
        <v>20</v>
      </c>
      <c r="D25" s="2" t="s">
        <v>25</v>
      </c>
      <c r="E25">
        <v>17</v>
      </c>
      <c r="F25">
        <v>900</v>
      </c>
      <c r="G25" s="4">
        <v>0</v>
      </c>
      <c r="H25" s="8">
        <v>15300</v>
      </c>
      <c r="I25" s="8">
        <v>7140</v>
      </c>
      <c r="J25" s="2" t="s">
        <v>17</v>
      </c>
      <c r="K25" s="2" t="s">
        <v>26</v>
      </c>
      <c r="L25" s="8">
        <f t="shared" si="0"/>
        <v>8160</v>
      </c>
      <c r="M25" s="7">
        <f t="shared" si="1"/>
        <v>0.53333333333333333</v>
      </c>
    </row>
    <row r="26" spans="1:13" x14ac:dyDescent="0.35">
      <c r="A26" s="1">
        <v>46153</v>
      </c>
      <c r="B26" s="2" t="s">
        <v>11</v>
      </c>
      <c r="C26" s="2" t="s">
        <v>21</v>
      </c>
      <c r="D26" s="2" t="s">
        <v>25</v>
      </c>
      <c r="E26">
        <v>20</v>
      </c>
      <c r="F26">
        <v>3200</v>
      </c>
      <c r="G26" s="4">
        <v>0.05</v>
      </c>
      <c r="H26" s="8">
        <v>60800</v>
      </c>
      <c r="I26" s="8">
        <v>38000</v>
      </c>
      <c r="J26" s="2" t="s">
        <v>19</v>
      </c>
      <c r="K26" s="2" t="s">
        <v>26</v>
      </c>
      <c r="L26" s="8">
        <f t="shared" si="0"/>
        <v>22800</v>
      </c>
      <c r="M26" s="7">
        <f t="shared" si="1"/>
        <v>0.375</v>
      </c>
    </row>
    <row r="27" spans="1:13" x14ac:dyDescent="0.35">
      <c r="A27" s="1">
        <v>46146</v>
      </c>
      <c r="B27" s="2" t="s">
        <v>22</v>
      </c>
      <c r="C27" s="2" t="s">
        <v>12</v>
      </c>
      <c r="D27" s="2" t="s">
        <v>25</v>
      </c>
      <c r="E27">
        <v>15</v>
      </c>
      <c r="F27">
        <v>65000</v>
      </c>
      <c r="G27" s="4">
        <v>0.08</v>
      </c>
      <c r="H27" s="8">
        <v>897000</v>
      </c>
      <c r="I27" s="8">
        <v>780000</v>
      </c>
      <c r="J27" s="2" t="s">
        <v>19</v>
      </c>
      <c r="K27" s="2" t="s">
        <v>26</v>
      </c>
      <c r="L27" s="8">
        <f t="shared" si="0"/>
        <v>117000</v>
      </c>
      <c r="M27" s="7">
        <f t="shared" si="1"/>
        <v>0.13043478260869565</v>
      </c>
    </row>
    <row r="28" spans="1:13" x14ac:dyDescent="0.35">
      <c r="A28" s="1">
        <v>46179</v>
      </c>
      <c r="B28" s="2" t="s">
        <v>22</v>
      </c>
      <c r="C28" s="2" t="s">
        <v>16</v>
      </c>
      <c r="D28" s="2" t="s">
        <v>25</v>
      </c>
      <c r="E28">
        <v>18</v>
      </c>
      <c r="F28">
        <v>14000</v>
      </c>
      <c r="G28" s="4">
        <v>0.03</v>
      </c>
      <c r="H28" s="8">
        <v>244440</v>
      </c>
      <c r="I28" s="8">
        <v>176400</v>
      </c>
      <c r="J28" s="2" t="s">
        <v>14</v>
      </c>
      <c r="K28" s="2" t="s">
        <v>26</v>
      </c>
      <c r="L28" s="8">
        <f t="shared" si="0"/>
        <v>68040</v>
      </c>
      <c r="M28" s="7">
        <f t="shared" si="1"/>
        <v>0.27835051546391754</v>
      </c>
    </row>
    <row r="29" spans="1:13" x14ac:dyDescent="0.35">
      <c r="A29" s="1">
        <v>46120</v>
      </c>
      <c r="B29" s="2" t="s">
        <v>22</v>
      </c>
      <c r="C29" s="2" t="s">
        <v>18</v>
      </c>
      <c r="D29" s="2" t="s">
        <v>25</v>
      </c>
      <c r="E29">
        <v>21</v>
      </c>
      <c r="F29">
        <v>1800</v>
      </c>
      <c r="G29" s="4">
        <v>0</v>
      </c>
      <c r="H29" s="8">
        <v>37800</v>
      </c>
      <c r="I29" s="8">
        <v>19950</v>
      </c>
      <c r="J29" s="2" t="s">
        <v>17</v>
      </c>
      <c r="K29" s="2" t="s">
        <v>26</v>
      </c>
      <c r="L29" s="8">
        <f t="shared" si="0"/>
        <v>17850</v>
      </c>
      <c r="M29" s="7">
        <f t="shared" si="1"/>
        <v>0.47222222222222221</v>
      </c>
    </row>
    <row r="30" spans="1:13" x14ac:dyDescent="0.35">
      <c r="A30" s="1">
        <v>46152</v>
      </c>
      <c r="B30" s="2" t="s">
        <v>22</v>
      </c>
      <c r="C30" s="2" t="s">
        <v>20</v>
      </c>
      <c r="D30" s="2" t="s">
        <v>25</v>
      </c>
      <c r="E30">
        <v>24</v>
      </c>
      <c r="F30">
        <v>900</v>
      </c>
      <c r="G30" s="4">
        <v>0.05</v>
      </c>
      <c r="H30" s="8">
        <v>20520</v>
      </c>
      <c r="I30" s="8">
        <v>10080</v>
      </c>
      <c r="J30" s="2" t="s">
        <v>19</v>
      </c>
      <c r="K30" s="2" t="s">
        <v>26</v>
      </c>
      <c r="L30" s="8">
        <f t="shared" si="0"/>
        <v>10440</v>
      </c>
      <c r="M30" s="7">
        <f t="shared" si="1"/>
        <v>0.50877192982456143</v>
      </c>
    </row>
    <row r="31" spans="1:13" x14ac:dyDescent="0.35">
      <c r="A31" s="1">
        <v>46185</v>
      </c>
      <c r="B31" s="2" t="s">
        <v>22</v>
      </c>
      <c r="C31" s="2" t="s">
        <v>21</v>
      </c>
      <c r="D31" s="2" t="s">
        <v>25</v>
      </c>
      <c r="E31">
        <v>5</v>
      </c>
      <c r="F31">
        <v>3200</v>
      </c>
      <c r="G31" s="4">
        <v>0.1</v>
      </c>
      <c r="H31" s="8">
        <v>14400</v>
      </c>
      <c r="I31" s="8">
        <v>9500</v>
      </c>
      <c r="J31" s="2" t="s">
        <v>14</v>
      </c>
      <c r="K31" s="2" t="s">
        <v>26</v>
      </c>
      <c r="L31" s="8">
        <f t="shared" si="0"/>
        <v>4900</v>
      </c>
      <c r="M31" s="7">
        <f t="shared" si="1"/>
        <v>0.34027777777777779</v>
      </c>
    </row>
    <row r="32" spans="1:13" x14ac:dyDescent="0.35">
      <c r="A32" s="1">
        <v>46178</v>
      </c>
      <c r="B32" s="2" t="s">
        <v>23</v>
      </c>
      <c r="C32" s="2" t="s">
        <v>12</v>
      </c>
      <c r="D32" s="2" t="s">
        <v>25</v>
      </c>
      <c r="E32">
        <v>22</v>
      </c>
      <c r="F32">
        <v>65000</v>
      </c>
      <c r="G32" s="4">
        <v>0.03</v>
      </c>
      <c r="H32" s="8">
        <v>1387100</v>
      </c>
      <c r="I32" s="8">
        <v>1144000</v>
      </c>
      <c r="J32" s="2" t="s">
        <v>14</v>
      </c>
      <c r="K32" s="2" t="s">
        <v>26</v>
      </c>
      <c r="L32" s="8">
        <f t="shared" si="0"/>
        <v>243100</v>
      </c>
      <c r="M32" s="7">
        <f t="shared" si="1"/>
        <v>0.17525773195876287</v>
      </c>
    </row>
    <row r="33" spans="1:13" x14ac:dyDescent="0.35">
      <c r="A33" s="1">
        <v>46119</v>
      </c>
      <c r="B33" s="2" t="s">
        <v>23</v>
      </c>
      <c r="C33" s="2" t="s">
        <v>16</v>
      </c>
      <c r="D33" s="2" t="s">
        <v>25</v>
      </c>
      <c r="E33">
        <v>25</v>
      </c>
      <c r="F33">
        <v>14000</v>
      </c>
      <c r="G33" s="4">
        <v>0</v>
      </c>
      <c r="H33" s="8">
        <v>350000</v>
      </c>
      <c r="I33" s="8">
        <v>245000</v>
      </c>
      <c r="J33" s="2" t="s">
        <v>17</v>
      </c>
      <c r="K33" s="2" t="s">
        <v>26</v>
      </c>
      <c r="L33" s="8">
        <f t="shared" si="0"/>
        <v>105000</v>
      </c>
      <c r="M33" s="7">
        <f t="shared" si="1"/>
        <v>0.3</v>
      </c>
    </row>
    <row r="34" spans="1:13" x14ac:dyDescent="0.35">
      <c r="A34" s="1">
        <v>46151</v>
      </c>
      <c r="B34" s="2" t="s">
        <v>23</v>
      </c>
      <c r="C34" s="2" t="s">
        <v>18</v>
      </c>
      <c r="D34" s="2" t="s">
        <v>25</v>
      </c>
      <c r="E34">
        <v>6</v>
      </c>
      <c r="F34">
        <v>1800</v>
      </c>
      <c r="G34" s="4">
        <v>0.05</v>
      </c>
      <c r="H34" s="8">
        <v>10260</v>
      </c>
      <c r="I34" s="8">
        <v>5700</v>
      </c>
      <c r="J34" s="2" t="s">
        <v>19</v>
      </c>
      <c r="K34" s="2" t="s">
        <v>26</v>
      </c>
      <c r="L34" s="8">
        <f t="shared" si="0"/>
        <v>4560</v>
      </c>
      <c r="M34" s="7">
        <f t="shared" si="1"/>
        <v>0.44444444444444442</v>
      </c>
    </row>
    <row r="35" spans="1:13" x14ac:dyDescent="0.35">
      <c r="A35" s="1">
        <v>46184</v>
      </c>
      <c r="B35" s="2" t="s">
        <v>23</v>
      </c>
      <c r="C35" s="2" t="s">
        <v>20</v>
      </c>
      <c r="D35" s="2" t="s">
        <v>25</v>
      </c>
      <c r="E35">
        <v>9</v>
      </c>
      <c r="F35">
        <v>900</v>
      </c>
      <c r="G35" s="4">
        <v>0.1</v>
      </c>
      <c r="H35" s="8">
        <v>7290</v>
      </c>
      <c r="I35" s="8">
        <v>3780</v>
      </c>
      <c r="J35" s="2" t="s">
        <v>14</v>
      </c>
      <c r="K35" s="2" t="s">
        <v>26</v>
      </c>
      <c r="L35" s="8">
        <f t="shared" si="0"/>
        <v>3510</v>
      </c>
      <c r="M35" s="7">
        <f t="shared" si="1"/>
        <v>0.48148148148148145</v>
      </c>
    </row>
    <row r="36" spans="1:13" x14ac:dyDescent="0.35">
      <c r="A36" s="1">
        <v>46125</v>
      </c>
      <c r="B36" s="2" t="s">
        <v>23</v>
      </c>
      <c r="C36" s="2" t="s">
        <v>21</v>
      </c>
      <c r="D36" s="2" t="s">
        <v>25</v>
      </c>
      <c r="E36">
        <v>12</v>
      </c>
      <c r="F36">
        <v>3200</v>
      </c>
      <c r="G36" s="4">
        <v>0.08</v>
      </c>
      <c r="H36" s="8">
        <v>35328</v>
      </c>
      <c r="I36" s="8">
        <v>22800</v>
      </c>
      <c r="J36" s="2" t="s">
        <v>17</v>
      </c>
      <c r="K36" s="2" t="s">
        <v>26</v>
      </c>
      <c r="L36" s="8">
        <f t="shared" si="0"/>
        <v>12528</v>
      </c>
      <c r="M36" s="7">
        <f t="shared" si="1"/>
        <v>0.3546195652173913</v>
      </c>
    </row>
    <row r="37" spans="1:13" x14ac:dyDescent="0.35">
      <c r="A37" s="1">
        <v>46118</v>
      </c>
      <c r="B37" s="2" t="s">
        <v>24</v>
      </c>
      <c r="C37" s="2" t="s">
        <v>12</v>
      </c>
      <c r="D37" s="2" t="s">
        <v>25</v>
      </c>
      <c r="E37">
        <v>7</v>
      </c>
      <c r="F37">
        <v>65000</v>
      </c>
      <c r="G37" s="4">
        <v>0</v>
      </c>
      <c r="H37" s="8">
        <v>455000</v>
      </c>
      <c r="I37" s="8">
        <v>364000</v>
      </c>
      <c r="J37" s="2" t="s">
        <v>17</v>
      </c>
      <c r="K37" s="2" t="s">
        <v>26</v>
      </c>
      <c r="L37" s="8">
        <f t="shared" si="0"/>
        <v>91000</v>
      </c>
      <c r="M37" s="7">
        <f t="shared" si="1"/>
        <v>0.2</v>
      </c>
    </row>
    <row r="38" spans="1:13" x14ac:dyDescent="0.35">
      <c r="A38" s="1">
        <v>46150</v>
      </c>
      <c r="B38" s="2" t="s">
        <v>24</v>
      </c>
      <c r="C38" s="2" t="s">
        <v>16</v>
      </c>
      <c r="D38" s="2" t="s">
        <v>25</v>
      </c>
      <c r="E38">
        <v>10</v>
      </c>
      <c r="F38">
        <v>14000</v>
      </c>
      <c r="G38" s="4">
        <v>0.05</v>
      </c>
      <c r="H38" s="8">
        <v>133000</v>
      </c>
      <c r="I38" s="8">
        <v>98000</v>
      </c>
      <c r="J38" s="2" t="s">
        <v>19</v>
      </c>
      <c r="K38" s="2" t="s">
        <v>26</v>
      </c>
      <c r="L38" s="8">
        <f t="shared" si="0"/>
        <v>35000</v>
      </c>
      <c r="M38" s="7">
        <f t="shared" si="1"/>
        <v>0.26315789473684209</v>
      </c>
    </row>
    <row r="39" spans="1:13" x14ac:dyDescent="0.35">
      <c r="A39" s="1">
        <v>46183</v>
      </c>
      <c r="B39" s="2" t="s">
        <v>24</v>
      </c>
      <c r="C39" s="2" t="s">
        <v>18</v>
      </c>
      <c r="D39" s="2" t="s">
        <v>25</v>
      </c>
      <c r="E39">
        <v>13</v>
      </c>
      <c r="F39">
        <v>1800</v>
      </c>
      <c r="G39" s="4">
        <v>0.1</v>
      </c>
      <c r="H39" s="8">
        <v>21060</v>
      </c>
      <c r="I39" s="8">
        <v>12350</v>
      </c>
      <c r="J39" s="2" t="s">
        <v>14</v>
      </c>
      <c r="K39" s="2" t="s">
        <v>26</v>
      </c>
      <c r="L39" s="8">
        <f t="shared" si="0"/>
        <v>8710</v>
      </c>
      <c r="M39" s="7">
        <f t="shared" si="1"/>
        <v>0.41358024691358025</v>
      </c>
    </row>
    <row r="40" spans="1:13" x14ac:dyDescent="0.35">
      <c r="A40" s="1">
        <v>46124</v>
      </c>
      <c r="B40" s="2" t="s">
        <v>24</v>
      </c>
      <c r="C40" s="2" t="s">
        <v>20</v>
      </c>
      <c r="D40" s="2" t="s">
        <v>25</v>
      </c>
      <c r="E40">
        <v>16</v>
      </c>
      <c r="F40">
        <v>900</v>
      </c>
      <c r="G40" s="4">
        <v>0.08</v>
      </c>
      <c r="H40" s="8">
        <v>13248</v>
      </c>
      <c r="I40" s="8">
        <v>6720</v>
      </c>
      <c r="J40" s="2" t="s">
        <v>17</v>
      </c>
      <c r="K40" s="2" t="s">
        <v>26</v>
      </c>
      <c r="L40" s="8">
        <f t="shared" si="0"/>
        <v>6528</v>
      </c>
      <c r="M40" s="7">
        <f t="shared" si="1"/>
        <v>0.49275362318840582</v>
      </c>
    </row>
    <row r="41" spans="1:13" x14ac:dyDescent="0.35">
      <c r="A41" s="1">
        <v>46156</v>
      </c>
      <c r="B41" s="2" t="s">
        <v>24</v>
      </c>
      <c r="C41" s="2" t="s">
        <v>21</v>
      </c>
      <c r="D41" s="2" t="s">
        <v>25</v>
      </c>
      <c r="E41">
        <v>19</v>
      </c>
      <c r="F41">
        <v>3200</v>
      </c>
      <c r="G41" s="4">
        <v>0.03</v>
      </c>
      <c r="H41" s="8">
        <v>58976</v>
      </c>
      <c r="I41" s="8">
        <v>36100</v>
      </c>
      <c r="J41" s="2" t="s">
        <v>19</v>
      </c>
      <c r="K41" s="2" t="s">
        <v>26</v>
      </c>
      <c r="L41" s="8">
        <f t="shared" si="0"/>
        <v>22876</v>
      </c>
      <c r="M41" s="7">
        <f t="shared" si="1"/>
        <v>0.38788659793814434</v>
      </c>
    </row>
    <row r="42" spans="1:13" x14ac:dyDescent="0.35">
      <c r="A42" s="1"/>
      <c r="B42" s="2"/>
      <c r="C42" s="2"/>
      <c r="D42" s="2"/>
      <c r="J42" s="2"/>
      <c r="K4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F5D9-2532-4807-A006-3766AC212B1E}">
  <dimension ref="A2:G30"/>
  <sheetViews>
    <sheetView showGridLines="0" topLeftCell="A4" workbookViewId="0">
      <selection activeCell="I13" sqref="I13"/>
    </sheetView>
  </sheetViews>
  <sheetFormatPr defaultRowHeight="14.5" x14ac:dyDescent="0.35"/>
  <cols>
    <col min="1" max="1" width="15.1796875" bestFit="1" customWidth="1"/>
    <col min="2" max="2" width="15.26953125" bestFit="1" customWidth="1"/>
    <col min="3" max="3" width="15.54296875" style="6" bestFit="1" customWidth="1"/>
    <col min="4" max="4" width="13.08984375" bestFit="1" customWidth="1"/>
    <col min="5" max="5" width="15.54296875" style="3" bestFit="1" customWidth="1"/>
    <col min="6" max="6" width="17.81640625" bestFit="1" customWidth="1"/>
    <col min="7" max="7" width="20.26953125" style="3" bestFit="1" customWidth="1"/>
    <col min="8" max="8" width="17.81640625" bestFit="1" customWidth="1"/>
    <col min="9" max="9" width="20.26953125" bestFit="1" customWidth="1"/>
    <col min="10" max="10" width="17.81640625" bestFit="1" customWidth="1"/>
    <col min="11" max="11" width="20.26953125" bestFit="1" customWidth="1"/>
    <col min="12" max="12" width="17.81640625" bestFit="1" customWidth="1"/>
    <col min="13" max="13" width="20.26953125" bestFit="1" customWidth="1"/>
  </cols>
  <sheetData>
    <row r="2" spans="1:7" ht="26" x14ac:dyDescent="0.6">
      <c r="A2" s="27"/>
      <c r="B2" s="28" t="s">
        <v>29</v>
      </c>
      <c r="C2" s="29"/>
      <c r="D2" s="29"/>
      <c r="E2" s="29"/>
      <c r="F2" s="27"/>
      <c r="G2" s="27"/>
    </row>
    <row r="3" spans="1:7" x14ac:dyDescent="0.35">
      <c r="A3" s="26"/>
      <c r="B3" s="10" t="s">
        <v>32</v>
      </c>
      <c r="C3" s="20"/>
      <c r="D3" s="9"/>
      <c r="E3" s="23"/>
      <c r="F3" s="9"/>
      <c r="G3" s="25"/>
    </row>
    <row r="4" spans="1:7" x14ac:dyDescent="0.35">
      <c r="A4" s="16"/>
      <c r="B4" s="12" t="s">
        <v>13</v>
      </c>
      <c r="C4" s="21"/>
      <c r="D4" s="11" t="s">
        <v>25</v>
      </c>
      <c r="E4" s="24"/>
      <c r="F4" s="11" t="s">
        <v>33</v>
      </c>
      <c r="G4" s="22" t="s">
        <v>35</v>
      </c>
    </row>
    <row r="5" spans="1:7" x14ac:dyDescent="0.35">
      <c r="A5" s="16" t="s">
        <v>30</v>
      </c>
      <c r="B5" s="16" t="s">
        <v>34</v>
      </c>
      <c r="C5" s="19" t="s">
        <v>36</v>
      </c>
      <c r="D5" s="16" t="s">
        <v>34</v>
      </c>
      <c r="E5" s="22" t="s">
        <v>36</v>
      </c>
      <c r="F5" s="16"/>
      <c r="G5" s="22"/>
    </row>
    <row r="6" spans="1:7" x14ac:dyDescent="0.35">
      <c r="A6" s="13" t="s">
        <v>24</v>
      </c>
      <c r="B6" s="14">
        <v>120418</v>
      </c>
      <c r="C6" s="17">
        <v>1.7558032231020801</v>
      </c>
      <c r="D6" s="14">
        <v>164114</v>
      </c>
      <c r="E6" s="18">
        <v>1.7573783627769723</v>
      </c>
      <c r="F6" s="14">
        <v>284532</v>
      </c>
      <c r="G6" s="18">
        <v>3.5131815858790523</v>
      </c>
    </row>
    <row r="7" spans="1:7" x14ac:dyDescent="0.35">
      <c r="A7" s="15" t="s">
        <v>21</v>
      </c>
      <c r="B7" s="14">
        <v>17748</v>
      </c>
      <c r="C7" s="17">
        <v>0.3546195652173913</v>
      </c>
      <c r="D7" s="14">
        <v>22876</v>
      </c>
      <c r="E7" s="18">
        <v>0.38788659793814434</v>
      </c>
      <c r="F7" s="14">
        <v>40624</v>
      </c>
      <c r="G7" s="18">
        <v>0.74250616315553564</v>
      </c>
    </row>
    <row r="8" spans="1:7" x14ac:dyDescent="0.35">
      <c r="A8" s="15" t="s">
        <v>18</v>
      </c>
      <c r="B8" s="14">
        <v>8360</v>
      </c>
      <c r="C8" s="17">
        <v>0.44444444444444442</v>
      </c>
      <c r="D8" s="14">
        <v>8710</v>
      </c>
      <c r="E8" s="18">
        <v>0.41358024691358025</v>
      </c>
      <c r="F8" s="14">
        <v>17070</v>
      </c>
      <c r="G8" s="18">
        <v>0.85802469135802473</v>
      </c>
    </row>
    <row r="9" spans="1:7" x14ac:dyDescent="0.35">
      <c r="A9" s="15" t="s">
        <v>12</v>
      </c>
      <c r="B9" s="14">
        <v>55250</v>
      </c>
      <c r="C9" s="17">
        <v>0.17525773195876287</v>
      </c>
      <c r="D9" s="14">
        <v>91000</v>
      </c>
      <c r="E9" s="18">
        <v>0.2</v>
      </c>
      <c r="F9" s="14">
        <v>146250</v>
      </c>
      <c r="G9" s="18">
        <v>0.37525773195876289</v>
      </c>
    </row>
    <row r="10" spans="1:7" x14ac:dyDescent="0.35">
      <c r="A10" s="15" t="s">
        <v>16</v>
      </c>
      <c r="B10" s="14">
        <v>33600</v>
      </c>
      <c r="C10" s="17">
        <v>0.3</v>
      </c>
      <c r="D10" s="14">
        <v>35000</v>
      </c>
      <c r="E10" s="18">
        <v>0.26315789473684209</v>
      </c>
      <c r="F10" s="14">
        <v>68600</v>
      </c>
      <c r="G10" s="18">
        <v>0.56315789473684208</v>
      </c>
    </row>
    <row r="11" spans="1:7" x14ac:dyDescent="0.35">
      <c r="A11" s="15" t="s">
        <v>20</v>
      </c>
      <c r="B11" s="14">
        <v>5460</v>
      </c>
      <c r="C11" s="17">
        <v>0.48148148148148145</v>
      </c>
      <c r="D11" s="14">
        <v>6528</v>
      </c>
      <c r="E11" s="18">
        <v>0.49275362318840582</v>
      </c>
      <c r="F11" s="14">
        <v>11988</v>
      </c>
      <c r="G11" s="18">
        <v>0.97423510466988728</v>
      </c>
    </row>
    <row r="12" spans="1:7" x14ac:dyDescent="0.35">
      <c r="A12" s="13" t="s">
        <v>22</v>
      </c>
      <c r="B12" s="14">
        <v>187964</v>
      </c>
      <c r="C12" s="17">
        <v>1.7144740773942924</v>
      </c>
      <c r="D12" s="14">
        <v>218230</v>
      </c>
      <c r="E12" s="18">
        <v>1.7300572278971746</v>
      </c>
      <c r="F12" s="14">
        <v>406194</v>
      </c>
      <c r="G12" s="18">
        <v>3.4445313052914672</v>
      </c>
    </row>
    <row r="13" spans="1:7" x14ac:dyDescent="0.35">
      <c r="A13" s="15" t="s">
        <v>21</v>
      </c>
      <c r="B13" s="14">
        <v>28500</v>
      </c>
      <c r="C13" s="17">
        <v>0.375</v>
      </c>
      <c r="D13" s="14">
        <v>4900</v>
      </c>
      <c r="E13" s="18">
        <v>0.34027777777777779</v>
      </c>
      <c r="F13" s="14">
        <v>33400</v>
      </c>
      <c r="G13" s="18">
        <v>0.71527777777777779</v>
      </c>
    </row>
    <row r="14" spans="1:7" x14ac:dyDescent="0.35">
      <c r="A14" s="15" t="s">
        <v>18</v>
      </c>
      <c r="B14" s="14">
        <v>15124</v>
      </c>
      <c r="C14" s="17">
        <v>0.45589919816723939</v>
      </c>
      <c r="D14" s="14">
        <v>17850</v>
      </c>
      <c r="E14" s="18">
        <v>0.47222222222222221</v>
      </c>
      <c r="F14" s="14">
        <v>32974</v>
      </c>
      <c r="G14" s="18">
        <v>0.92812142038946166</v>
      </c>
    </row>
    <row r="15" spans="1:7" x14ac:dyDescent="0.35">
      <c r="A15" s="15" t="s">
        <v>12</v>
      </c>
      <c r="B15" s="14">
        <v>84500</v>
      </c>
      <c r="C15" s="17">
        <v>0.1111111111111111</v>
      </c>
      <c r="D15" s="14">
        <v>117000</v>
      </c>
      <c r="E15" s="18">
        <v>0.13043478260869565</v>
      </c>
      <c r="F15" s="14">
        <v>201500</v>
      </c>
      <c r="G15" s="18">
        <v>0.24154589371980675</v>
      </c>
    </row>
    <row r="16" spans="1:7" x14ac:dyDescent="0.35">
      <c r="A16" s="15" t="s">
        <v>16</v>
      </c>
      <c r="B16" s="14">
        <v>49280</v>
      </c>
      <c r="C16" s="17">
        <v>0.2391304347826087</v>
      </c>
      <c r="D16" s="14">
        <v>68040</v>
      </c>
      <c r="E16" s="18">
        <v>0.27835051546391754</v>
      </c>
      <c r="F16" s="14">
        <v>117320</v>
      </c>
      <c r="G16" s="18">
        <v>0.51748095024652629</v>
      </c>
    </row>
    <row r="17" spans="1:7" x14ac:dyDescent="0.35">
      <c r="A17" s="15" t="s">
        <v>20</v>
      </c>
      <c r="B17" s="14">
        <v>10560</v>
      </c>
      <c r="C17" s="17">
        <v>0.53333333333333333</v>
      </c>
      <c r="D17" s="14">
        <v>10440</v>
      </c>
      <c r="E17" s="18">
        <v>0.50877192982456143</v>
      </c>
      <c r="F17" s="14">
        <v>21000</v>
      </c>
      <c r="G17" s="18">
        <v>1.0421052631578949</v>
      </c>
    </row>
    <row r="18" spans="1:7" x14ac:dyDescent="0.35">
      <c r="A18" s="13" t="s">
        <v>11</v>
      </c>
      <c r="B18" s="14">
        <v>122367</v>
      </c>
      <c r="C18" s="17">
        <v>1.7315958051223981</v>
      </c>
      <c r="D18" s="14">
        <v>127984</v>
      </c>
      <c r="E18" s="18">
        <v>1.7144740773942924</v>
      </c>
      <c r="F18" s="14">
        <v>250351</v>
      </c>
      <c r="G18" s="18">
        <v>3.4460698825166904</v>
      </c>
    </row>
    <row r="19" spans="1:7" x14ac:dyDescent="0.35">
      <c r="A19" s="15" t="s">
        <v>21</v>
      </c>
      <c r="B19" s="14">
        <v>23400</v>
      </c>
      <c r="C19" s="17">
        <v>0.40625</v>
      </c>
      <c r="D19" s="14">
        <v>22800</v>
      </c>
      <c r="E19" s="18">
        <v>0.375</v>
      </c>
      <c r="F19" s="14">
        <v>46200</v>
      </c>
      <c r="G19" s="18">
        <v>0.78125</v>
      </c>
    </row>
    <row r="20" spans="1:7" x14ac:dyDescent="0.35">
      <c r="A20" s="15" t="s">
        <v>18</v>
      </c>
      <c r="B20" s="14">
        <v>8472</v>
      </c>
      <c r="C20" s="17">
        <v>0.42632850241545894</v>
      </c>
      <c r="D20" s="14">
        <v>11144</v>
      </c>
      <c r="E20" s="18">
        <v>0.45589919816723939</v>
      </c>
      <c r="F20" s="14">
        <v>19616</v>
      </c>
      <c r="G20" s="18">
        <v>0.88222770058269839</v>
      </c>
    </row>
    <row r="21" spans="1:7" x14ac:dyDescent="0.35">
      <c r="A21" s="15" t="s">
        <v>12</v>
      </c>
      <c r="B21" s="14">
        <v>58500</v>
      </c>
      <c r="C21" s="17">
        <v>0.15789473684210525</v>
      </c>
      <c r="D21" s="14">
        <v>52000</v>
      </c>
      <c r="E21" s="18">
        <v>0.1111111111111111</v>
      </c>
      <c r="F21" s="14">
        <v>110500</v>
      </c>
      <c r="G21" s="18">
        <v>0.26900584795321636</v>
      </c>
    </row>
    <row r="22" spans="1:7" x14ac:dyDescent="0.35">
      <c r="A22" s="15" t="s">
        <v>16</v>
      </c>
      <c r="B22" s="14">
        <v>25200</v>
      </c>
      <c r="C22" s="17">
        <v>0.22222222222222221</v>
      </c>
      <c r="D22" s="14">
        <v>33880</v>
      </c>
      <c r="E22" s="18">
        <v>0.2391304347826087</v>
      </c>
      <c r="F22" s="14">
        <v>59080</v>
      </c>
      <c r="G22" s="18">
        <v>0.46135265700483091</v>
      </c>
    </row>
    <row r="23" spans="1:7" x14ac:dyDescent="0.35">
      <c r="A23" s="15" t="s">
        <v>20</v>
      </c>
      <c r="B23" s="14">
        <v>6795</v>
      </c>
      <c r="C23" s="17">
        <v>0.51890034364261173</v>
      </c>
      <c r="D23" s="14">
        <v>8160</v>
      </c>
      <c r="E23" s="18">
        <v>0.53333333333333333</v>
      </c>
      <c r="F23" s="14">
        <v>14955</v>
      </c>
      <c r="G23" s="18">
        <v>1.0522336769759451</v>
      </c>
    </row>
    <row r="24" spans="1:7" x14ac:dyDescent="0.35">
      <c r="A24" s="13" t="s">
        <v>23</v>
      </c>
      <c r="B24" s="14">
        <v>259185</v>
      </c>
      <c r="C24" s="17">
        <v>1.7300572278971746</v>
      </c>
      <c r="D24" s="14">
        <v>368698</v>
      </c>
      <c r="E24" s="18">
        <v>1.7558032231020801</v>
      </c>
      <c r="F24" s="14">
        <v>627883</v>
      </c>
      <c r="G24" s="18">
        <v>3.4858604509992546</v>
      </c>
    </row>
    <row r="25" spans="1:7" x14ac:dyDescent="0.35">
      <c r="A25" s="15" t="s">
        <v>21</v>
      </c>
      <c r="B25" s="14">
        <v>9800</v>
      </c>
      <c r="C25" s="17">
        <v>0.34027777777777779</v>
      </c>
      <c r="D25" s="14">
        <v>12528</v>
      </c>
      <c r="E25" s="18">
        <v>0.3546195652173913</v>
      </c>
      <c r="F25" s="14">
        <v>22328</v>
      </c>
      <c r="G25" s="18">
        <v>0.69489734299516903</v>
      </c>
    </row>
    <row r="26" spans="1:7" x14ac:dyDescent="0.35">
      <c r="A26" s="15" t="s">
        <v>18</v>
      </c>
      <c r="B26" s="14">
        <v>3400</v>
      </c>
      <c r="C26" s="17">
        <v>0.47222222222222221</v>
      </c>
      <c r="D26" s="14">
        <v>4560</v>
      </c>
      <c r="E26" s="18">
        <v>0.44444444444444442</v>
      </c>
      <c r="F26" s="14">
        <v>7960</v>
      </c>
      <c r="G26" s="18">
        <v>0.91666666666666663</v>
      </c>
    </row>
    <row r="27" spans="1:7" x14ac:dyDescent="0.35">
      <c r="A27" s="15" t="s">
        <v>12</v>
      </c>
      <c r="B27" s="14">
        <v>156000</v>
      </c>
      <c r="C27" s="17">
        <v>0.13043478260869565</v>
      </c>
      <c r="D27" s="14">
        <v>243100</v>
      </c>
      <c r="E27" s="18">
        <v>0.17525773195876287</v>
      </c>
      <c r="F27" s="14">
        <v>399100</v>
      </c>
      <c r="G27" s="18">
        <v>0.3056925145674585</v>
      </c>
    </row>
    <row r="28" spans="1:7" x14ac:dyDescent="0.35">
      <c r="A28" s="15" t="s">
        <v>16</v>
      </c>
      <c r="B28" s="14">
        <v>86940</v>
      </c>
      <c r="C28" s="17">
        <v>0.27835051546391754</v>
      </c>
      <c r="D28" s="14">
        <v>105000</v>
      </c>
      <c r="E28" s="18">
        <v>0.3</v>
      </c>
      <c r="F28" s="14">
        <v>191940</v>
      </c>
      <c r="G28" s="18">
        <v>0.57835051546391747</v>
      </c>
    </row>
    <row r="29" spans="1:7" x14ac:dyDescent="0.35">
      <c r="A29" s="15" t="s">
        <v>20</v>
      </c>
      <c r="B29" s="14">
        <v>3045</v>
      </c>
      <c r="C29" s="17">
        <v>0.50877192982456143</v>
      </c>
      <c r="D29" s="14">
        <v>3510</v>
      </c>
      <c r="E29" s="18">
        <v>0.48148148148148145</v>
      </c>
      <c r="F29" s="14">
        <v>6555</v>
      </c>
      <c r="G29" s="18">
        <v>0.99025341130604283</v>
      </c>
    </row>
    <row r="30" spans="1:7" x14ac:dyDescent="0.35">
      <c r="A30" s="13" t="s">
        <v>31</v>
      </c>
      <c r="B30" s="14">
        <v>689934</v>
      </c>
      <c r="C30" s="17">
        <v>6.9319303335159459</v>
      </c>
      <c r="D30" s="14">
        <v>879026</v>
      </c>
      <c r="E30" s="18">
        <v>6.9577128911705204</v>
      </c>
      <c r="F30" s="14">
        <v>1568960</v>
      </c>
      <c r="G30" s="18">
        <v>13.889643224686463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E40F-30B2-4FDE-B0E6-49D50FD63FA1}">
  <dimension ref="A1:I16"/>
  <sheetViews>
    <sheetView topLeftCell="A6" workbookViewId="0">
      <selection activeCell="E35" sqref="E35"/>
    </sheetView>
  </sheetViews>
  <sheetFormatPr defaultRowHeight="14.5" x14ac:dyDescent="0.35"/>
  <cols>
    <col min="2" max="2" width="13.7265625" bestFit="1" customWidth="1"/>
    <col min="3" max="3" width="13.90625" bestFit="1" customWidth="1"/>
    <col min="7" max="7" width="11.453125" customWidth="1"/>
    <col min="8" max="8" width="16.1796875" customWidth="1"/>
    <col min="9" max="9" width="14.08984375" customWidth="1"/>
  </cols>
  <sheetData>
    <row r="1" spans="1:9" ht="26" x14ac:dyDescent="0.6">
      <c r="A1" s="30" t="s">
        <v>37</v>
      </c>
      <c r="B1" s="31"/>
      <c r="C1" s="31"/>
      <c r="D1" s="31"/>
      <c r="E1" s="31"/>
    </row>
    <row r="3" spans="1:9" ht="17" x14ac:dyDescent="0.4">
      <c r="C3" s="32"/>
      <c r="G3" s="37" t="s">
        <v>44</v>
      </c>
    </row>
    <row r="4" spans="1:9" x14ac:dyDescent="0.35">
      <c r="A4" s="33" t="s">
        <v>38</v>
      </c>
      <c r="B4" s="33"/>
      <c r="C4" s="34">
        <f>SUM('Raw Data'!H:H)</f>
        <v>8123440</v>
      </c>
      <c r="H4" s="8"/>
      <c r="I4" s="8"/>
    </row>
    <row r="5" spans="1:9" x14ac:dyDescent="0.35">
      <c r="A5" s="33" t="s">
        <v>39</v>
      </c>
      <c r="B5" s="33"/>
      <c r="C5" s="34">
        <f>SUM('Raw Data'!I:I)</f>
        <v>6554480</v>
      </c>
      <c r="G5" s="38" t="s">
        <v>1</v>
      </c>
      <c r="H5" s="39" t="s">
        <v>7</v>
      </c>
      <c r="I5" s="39" t="s">
        <v>27</v>
      </c>
    </row>
    <row r="6" spans="1:9" x14ac:dyDescent="0.35">
      <c r="A6" s="33" t="s">
        <v>40</v>
      </c>
      <c r="B6" s="33"/>
      <c r="C6" s="34">
        <f>C4-C5</f>
        <v>1568960</v>
      </c>
      <c r="G6" t="s">
        <v>11</v>
      </c>
      <c r="H6" s="8">
        <f>SUMIF('Raw Data'!B:B,G6,'Raw Data'!H:H)</f>
        <v>1284691</v>
      </c>
      <c r="I6" s="8">
        <f>SUMIF('Raw Data'!B:B,G6,'Raw Data'!L:L)</f>
        <v>250351</v>
      </c>
    </row>
    <row r="7" spans="1:9" x14ac:dyDescent="0.35">
      <c r="A7" s="33" t="s">
        <v>41</v>
      </c>
      <c r="B7" s="33"/>
      <c r="C7" s="35">
        <f>IFERROR(C6/C4,0)</f>
        <v>0.19313985208236906</v>
      </c>
      <c r="G7" t="s">
        <v>22</v>
      </c>
      <c r="H7" s="8">
        <f>SUMIF('Raw Data'!B:B,G7,'Raw Data'!H:H)</f>
        <v>2309714</v>
      </c>
      <c r="I7" s="8">
        <f>SUMIF('Raw Data'!B:B,G7,'Raw Data'!L:L)</f>
        <v>406194</v>
      </c>
    </row>
    <row r="8" spans="1:9" x14ac:dyDescent="0.35">
      <c r="A8" s="33" t="s">
        <v>42</v>
      </c>
      <c r="B8" s="33"/>
      <c r="C8" s="36">
        <f>SUM('Raw Data'!E:E)</f>
        <v>566</v>
      </c>
      <c r="G8" t="s">
        <v>23</v>
      </c>
      <c r="H8" s="8">
        <f>SUMIF('Raw Data'!B:B,G8,'Raw Data'!H:H)</f>
        <v>3340303</v>
      </c>
      <c r="I8" s="8">
        <f>SUMIF('Raw Data'!B:B,G8,'Raw Data'!L:L)</f>
        <v>627883</v>
      </c>
    </row>
    <row r="9" spans="1:9" x14ac:dyDescent="0.35">
      <c r="A9" s="33" t="s">
        <v>43</v>
      </c>
      <c r="B9" s="33"/>
      <c r="C9" s="36">
        <f>COUNTA('Raw Data'!A:A)-1</f>
        <v>40</v>
      </c>
      <c r="G9" t="s">
        <v>24</v>
      </c>
      <c r="H9" s="8">
        <f>SUMIF('Raw Data'!B:B,G9,'Raw Data'!H:H)</f>
        <v>1188732</v>
      </c>
      <c r="I9" s="8">
        <f>SUMIF('Raw Data'!B:B,G9,'Raw Data'!L:L)</f>
        <v>284532</v>
      </c>
    </row>
    <row r="14" spans="1:9" x14ac:dyDescent="0.35">
      <c r="A14" s="38" t="s">
        <v>3</v>
      </c>
      <c r="B14" s="38" t="s">
        <v>7</v>
      </c>
      <c r="C14" s="38" t="s">
        <v>45</v>
      </c>
    </row>
    <row r="15" spans="1:9" x14ac:dyDescent="0.35">
      <c r="A15" t="s">
        <v>13</v>
      </c>
      <c r="B15" s="8">
        <f>SUMIF('Raw Data'!D:D,A15,'Raw Data'!H:H)</f>
        <v>3727794</v>
      </c>
      <c r="C15" s="40" t="s">
        <v>46</v>
      </c>
    </row>
    <row r="16" spans="1:9" x14ac:dyDescent="0.35">
      <c r="A16" t="s">
        <v>25</v>
      </c>
      <c r="B16" s="8">
        <f>SUMIF('Raw Data'!D:D,A16,'Raw Data'!H:H)</f>
        <v>4395646</v>
      </c>
      <c r="C16" s="3">
        <f>IFERROR((B16-B15)/B15,0)</f>
        <v>0.17915474943089665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BDF577-C031-4106-AF60-783570E084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Analysis</vt:lpstr>
      <vt:lpstr>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Kumuda KH</dc:creator>
  <cp:lastModifiedBy>Kumuda KH</cp:lastModifiedBy>
  <dcterms:created xsi:type="dcterms:W3CDTF">2026-10-28T09:57:40Z</dcterms:created>
  <dcterms:modified xsi:type="dcterms:W3CDTF">2026-10-28T11:47:03Z</dcterms:modified>
</cp:coreProperties>
</file>